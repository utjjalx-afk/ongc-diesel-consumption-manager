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drawings/drawing11.xml" ContentType="application/vnd.openxmlformats-officedocument.drawing+xml"/>
  <Override PartName="/xl/embeddings/oleObject11.bin" ContentType="application/vnd.openxmlformats-officedocument.oleObject"/>
  <Override PartName="/xl/drawings/drawing12.xml" ContentType="application/vnd.openxmlformats-officedocument.drawing+xml"/>
  <Override PartName="/xl/embeddings/oleObject1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Z:\SUB-SURFACE\RDAG\Overtime Allowance\2024-25\Jan- 2025\"/>
    </mc:Choice>
  </mc:AlternateContent>
  <xr:revisionPtr revIDLastSave="0" documentId="13_ncr:1_{91D5D6D4-9207-4C4A-A128-2E63EF84BCC6}" xr6:coauthVersionLast="47" xr6:coauthVersionMax="47" xr10:uidLastSave="{00000000-0000-0000-0000-000000000000}"/>
  <bookViews>
    <workbookView xWindow="28680" yWindow="-120" windowWidth="29040" windowHeight="17520" activeTab="11" xr2:uid="{00000000-000D-0000-FFFF-FFFF00000000}"/>
  </bookViews>
  <sheets>
    <sheet name="PPD" sheetId="2" r:id="rId1"/>
    <sheet name="DJB" sheetId="3" r:id="rId2"/>
    <sheet name="SD" sheetId="4" r:id="rId3"/>
    <sheet name="DB" sheetId="5" r:id="rId4"/>
    <sheet name="HR" sheetId="10" r:id="rId5"/>
    <sheet name="YA" sheetId="11" r:id="rId6"/>
    <sheet name="RRK" sheetId="12" r:id="rId7"/>
    <sheet name="SR" sheetId="13" r:id="rId8"/>
    <sheet name="MP" sheetId="14" r:id="rId9"/>
    <sheet name="AB" sheetId="15" r:id="rId10"/>
    <sheet name="RD" sheetId="16" r:id="rId11"/>
    <sheet name="UC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6" l="1"/>
  <c r="B30" i="10" l="1"/>
  <c r="B28" i="15" l="1"/>
  <c r="B28" i="12"/>
  <c r="B27" i="4" l="1"/>
  <c r="B28" i="17" l="1"/>
  <c r="B29" i="13"/>
  <c r="B29" i="3"/>
  <c r="B29" i="2" l="1"/>
  <c r="B29" i="14" l="1"/>
  <c r="B26" i="5" l="1"/>
  <c r="B30" i="11" l="1"/>
  <c r="D29" i="17" l="1"/>
  <c r="F28" i="17" s="1"/>
  <c r="D30" i="3" l="1"/>
  <c r="F29" i="3" s="1"/>
  <c r="D30" i="13" l="1"/>
  <c r="F29" i="13" s="1"/>
  <c r="D30" i="2"/>
  <c r="F29" i="2" s="1"/>
  <c r="D27" i="5"/>
  <c r="F26" i="5" s="1"/>
  <c r="D31" i="16"/>
  <c r="F30" i="16" s="1"/>
  <c r="D30" i="14"/>
  <c r="F29" i="14" s="1"/>
  <c r="D31" i="11"/>
  <c r="F30" i="11" s="1"/>
  <c r="D29" i="12"/>
  <c r="F28" i="12" s="1"/>
  <c r="D29" i="15"/>
  <c r="F28" i="15" s="1"/>
  <c r="D31" i="10"/>
  <c r="F30" i="10" s="1"/>
  <c r="D28" i="4"/>
  <c r="F27" i="4" s="1"/>
</calcChain>
</file>

<file path=xl/sharedStrings.xml><?xml version="1.0" encoding="utf-8"?>
<sst xmlns="http://schemas.openxmlformats.org/spreadsheetml/2006/main" count="727" uniqueCount="111">
  <si>
    <t>Form No. CLM-MIS-02</t>
  </si>
  <si>
    <t>OIL AND NATURAL GAS CORPORATION LTD</t>
  </si>
  <si>
    <t>CPF No.</t>
  </si>
  <si>
    <t>Name:</t>
  </si>
  <si>
    <t>Designation:</t>
  </si>
  <si>
    <t>Section/Site :</t>
  </si>
  <si>
    <t>SST</t>
  </si>
  <si>
    <t>Location:</t>
  </si>
  <si>
    <t>Org. Unit:</t>
  </si>
  <si>
    <t>ONGCL</t>
  </si>
  <si>
    <t>Bill No.</t>
  </si>
  <si>
    <t>Basic Pay (Rs.):</t>
  </si>
  <si>
    <t>DA (Rs.):</t>
  </si>
  <si>
    <t>Remarks</t>
  </si>
  <si>
    <t>Arr. Time</t>
  </si>
  <si>
    <t>Dep. Time</t>
  </si>
  <si>
    <t>Date</t>
  </si>
  <si>
    <t>Total Rs.</t>
  </si>
  <si>
    <t>Date:</t>
  </si>
  <si>
    <t>(Signature of Controlling Officer)</t>
  </si>
  <si>
    <t>(Signature of Employee)</t>
  </si>
  <si>
    <t>JORHAT</t>
  </si>
  <si>
    <t>PRATIK PURNA DUTTA</t>
  </si>
  <si>
    <t>DIPJYOTI BORA</t>
  </si>
  <si>
    <t>SUBHASISH DAS</t>
  </si>
  <si>
    <t>DEBAJIT BORA</t>
  </si>
  <si>
    <t>Month:</t>
  </si>
  <si>
    <t>YUSUF ALI</t>
  </si>
  <si>
    <t>JR KHALASHI</t>
  </si>
  <si>
    <t>RAJEN RAJKONWAR</t>
  </si>
  <si>
    <t>SAHIDUR ROHMAN</t>
  </si>
  <si>
    <t>RAJESH DAS</t>
  </si>
  <si>
    <t>MANABJYOTI PEGU</t>
  </si>
  <si>
    <t>JMVD(W.O.)</t>
  </si>
  <si>
    <t>JT(FITTING)</t>
  </si>
  <si>
    <t>DY T (FITTING)</t>
  </si>
  <si>
    <t>EA(M)</t>
  </si>
  <si>
    <t>MVD(WO)</t>
  </si>
  <si>
    <t xml:space="preserve"> </t>
  </si>
  <si>
    <t>HRIDOY RAY</t>
  </si>
  <si>
    <t>Dy. T (FITTING)</t>
  </si>
  <si>
    <t>ABHIJIT BORAH</t>
  </si>
  <si>
    <t>DY. T (FITTING)</t>
  </si>
  <si>
    <t>Rate/Shift. (Rs.):</t>
  </si>
  <si>
    <r>
      <rPr>
        <b/>
        <u/>
        <sz val="16"/>
        <color theme="1"/>
        <rFont val="Calibri"/>
        <family val="2"/>
        <scheme val="minor"/>
      </rPr>
      <t>FIELD DUTY EXPENDITURE</t>
    </r>
    <r>
      <rPr>
        <b/>
        <u/>
        <sz val="14"/>
        <color theme="1"/>
        <rFont val="Calibri"/>
        <family val="2"/>
        <scheme val="minor"/>
      </rPr>
      <t xml:space="preserve"> </t>
    </r>
  </si>
  <si>
    <t>Location</t>
  </si>
  <si>
    <t>Total Hrs. in field</t>
  </si>
  <si>
    <t>Total Shift:</t>
  </si>
  <si>
    <t>Duty in Field(hrs)</t>
  </si>
  <si>
    <t>Rate/shift. (Rs.):</t>
  </si>
  <si>
    <t>Rate/shift (Rs.):</t>
  </si>
  <si>
    <t>EA(P)</t>
  </si>
  <si>
    <t>UTJJAL CHETIA</t>
  </si>
  <si>
    <t>02.01.2025</t>
  </si>
  <si>
    <t>RESERVOIR STUDY AT BR#62</t>
  </si>
  <si>
    <t>03.01.2025</t>
  </si>
  <si>
    <t>BORHOLLA</t>
  </si>
  <si>
    <t>RESERVOIR STUDY AT BR#55</t>
  </si>
  <si>
    <t>06.1.2025</t>
  </si>
  <si>
    <t>KHORAGHAT</t>
  </si>
  <si>
    <t>08.01.2025</t>
  </si>
  <si>
    <t>DHAPKATA</t>
  </si>
  <si>
    <t>WINCH SHIFTING AN MAINTENANCE</t>
  </si>
  <si>
    <t>09.01.2025</t>
  </si>
  <si>
    <t>NAMBAR</t>
  </si>
  <si>
    <t>WINCH 3120 MAINTENANCE AT NR#11 SITE</t>
  </si>
  <si>
    <t>8317 WINCH SHIFTED FROM BASE OFFICE TO BR#62
 AND 7845 SHIFTED TO BR#62 TO BASE OFFICE JORHAT</t>
  </si>
  <si>
    <t>10.01.2025</t>
  </si>
  <si>
    <t>L/P LUBRICATOR SHIFTED FROM BASE WINCH TO KHORAGHAT WINCH
AND KHORAGHAT WINCH TO FABRICATION WORKSHOP JORHAT</t>
  </si>
  <si>
    <t>13.01.2025</t>
  </si>
  <si>
    <t>DAYALPUR</t>
  </si>
  <si>
    <t>OIL SAMPLE COLLECTED FROM WELLS DPDT AND DP#03</t>
  </si>
  <si>
    <t>15.01.2025</t>
  </si>
  <si>
    <t>RESERVOIR STUDY AT WELLS BR#40 AND BR#76</t>
  </si>
  <si>
    <t>16.01.2025</t>
  </si>
  <si>
    <t>RESERVOIR STUDY AT BR#51</t>
  </si>
  <si>
    <t>KASOMARI</t>
  </si>
  <si>
    <t>RESERVOIR STUDY AT KS#11</t>
  </si>
  <si>
    <t>17.01.2025</t>
  </si>
  <si>
    <t>RESERVOIR STUDY AT WELLS NR#09 AND NR#11Z</t>
  </si>
  <si>
    <t>17.01.2024</t>
  </si>
  <si>
    <t>18.01.2025</t>
  </si>
  <si>
    <t>19.01.2025</t>
  </si>
  <si>
    <t>20.01.2025</t>
  </si>
  <si>
    <t>RESERVOIR STUDY AT KH#38Z AND NR#14Z</t>
  </si>
  <si>
    <t>RESERVOIR STUDY AT WELLS NR#12 AND NR#01</t>
  </si>
  <si>
    <t>21.01.2025</t>
  </si>
  <si>
    <t>22.01.2025</t>
  </si>
  <si>
    <t>WINCH 7845 MAINTENANCE AND BHS AT BR#59</t>
  </si>
  <si>
    <t>23.01.2025</t>
  </si>
  <si>
    <t>BHS AT BR#52 AND ECHOMETER STUDY AT BR#44</t>
  </si>
  <si>
    <t>24.01.2025</t>
  </si>
  <si>
    <t>WINCH SHIFTING AND BHS AT KH#19Z</t>
  </si>
  <si>
    <t>27.01.2025</t>
  </si>
  <si>
    <t>RESERVOIR STUDY AT KS#04Z</t>
  </si>
  <si>
    <t>28.01.2025</t>
  </si>
  <si>
    <t>RESERVOIR STUDY AT KS#05</t>
  </si>
  <si>
    <t>29.01.2025</t>
  </si>
  <si>
    <t>30.01.2025</t>
  </si>
  <si>
    <t>RESERVOIR STUDY AT KS#07</t>
  </si>
  <si>
    <t>31.01.2025</t>
  </si>
  <si>
    <t>RESERVOIR STUDY AT KH#19Z</t>
  </si>
  <si>
    <t>Winch Shifted from KH GGS to KH-40, RESERVOIR STUDY AT KH#40</t>
  </si>
  <si>
    <t>RESERVOIR STUDY AT WELLS KH#14 (2nd attempt successful, no data in 1st attempt) AND NR#07</t>
  </si>
  <si>
    <t>Job started late due to clearance of site from WOR, RESERVOIR STUDY AT KH#26</t>
  </si>
  <si>
    <t xml:space="preserve">RESERVOIR STUDY AT KH#22Z (2nd attempt successful, no data in 1st attempt) </t>
  </si>
  <si>
    <t>RESERVOIR STUDY AT WELLS KS#11 AND KS#08 (obstruction in 1st attempt, job successful after scrapper, party waited at site for nearly 4 hrs for scrapper team)</t>
  </si>
  <si>
    <t>Attempted first at KSDC, job not possible due to space constraint. RESERVOIR STUDY AT KS#04Z</t>
  </si>
  <si>
    <t>RESERVOIR STUDY AT KH#14 ( Two jobs done SBHP and FBHP after flowing 1hr)</t>
  </si>
  <si>
    <t>8327 WINCH SHIFTED FROM BASE OFFICE TO BR#62
 AND 7845 SHIFTED TO BR#62 TO BASE OFFICE JORHAT</t>
  </si>
  <si>
    <t>Job failure at BR-64 due to high pressure, RESERVOIR STUDY AT BR#70+ECHOMETER STUDY AT BR#44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</si>
</sst>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4" fillId="0" borderId="5" xfId="0" applyFont="1" applyBorder="1"/>
    <xf numFmtId="0" fontId="4" fillId="0" borderId="0" xfId="0" applyFont="1"/>
    <xf numFmtId="164" fontId="0" fillId="0" borderId="0" xfId="0" applyNumberFormat="1"/>
    <xf numFmtId="0" fontId="0" fillId="0" borderId="10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8" xfId="0" applyNumberFormat="1" applyBorder="1" applyAlignment="1">
      <alignment horizontal="center"/>
    </xf>
    <xf numFmtId="14" fontId="0" fillId="0" borderId="3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9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31" xfId="0" applyNumberFormat="1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14" fontId="0" fillId="0" borderId="1" xfId="0" applyNumberFormat="1" applyBorder="1" applyAlignment="1">
      <alignment horizontal="center" wrapText="1"/>
    </xf>
    <xf numFmtId="20" fontId="0" fillId="0" borderId="31" xfId="0" applyNumberForma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7" fontId="0" fillId="0" borderId="2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23" xfId="0" applyBorder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0" xfId="0" applyFont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1</xdr:row>
          <xdr:rowOff>0</xdr:rowOff>
        </xdr:from>
        <xdr:to>
          <xdr:col>0</xdr:col>
          <xdr:colOff>914400</xdr:colOff>
          <xdr:row>5</xdr:row>
          <xdr:rowOff>28575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133350</xdr:rowOff>
        </xdr:from>
        <xdr:to>
          <xdr:col>1</xdr:col>
          <xdr:colOff>0</xdr:colOff>
          <xdr:row>4</xdr:row>
          <xdr:rowOff>209550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133350</xdr:rowOff>
        </xdr:from>
        <xdr:to>
          <xdr:col>0</xdr:col>
          <xdr:colOff>857250</xdr:colOff>
          <xdr:row>4</xdr:row>
          <xdr:rowOff>209550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133350</xdr:rowOff>
        </xdr:from>
        <xdr:to>
          <xdr:col>1</xdr:col>
          <xdr:colOff>0</xdr:colOff>
          <xdr:row>4</xdr:row>
          <xdr:rowOff>209550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133350</xdr:rowOff>
        </xdr:from>
        <xdr:to>
          <xdr:col>1</xdr:col>
          <xdr:colOff>0</xdr:colOff>
          <xdr:row>4</xdr:row>
          <xdr:rowOff>104775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133350</xdr:rowOff>
        </xdr:from>
        <xdr:to>
          <xdr:col>1</xdr:col>
          <xdr:colOff>0</xdr:colOff>
          <xdr:row>4</xdr:row>
          <xdr:rowOff>104775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5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133350</xdr:rowOff>
        </xdr:from>
        <xdr:to>
          <xdr:col>1</xdr:col>
          <xdr:colOff>0</xdr:colOff>
          <xdr:row>4</xdr:row>
          <xdr:rowOff>104775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6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133350</xdr:rowOff>
        </xdr:from>
        <xdr:to>
          <xdr:col>1</xdr:col>
          <xdr:colOff>0</xdr:colOff>
          <xdr:row>4</xdr:row>
          <xdr:rowOff>104775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7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133350</xdr:rowOff>
        </xdr:from>
        <xdr:to>
          <xdr:col>1</xdr:col>
          <xdr:colOff>0</xdr:colOff>
          <xdr:row>4</xdr:row>
          <xdr:rowOff>209550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8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133350</xdr:rowOff>
        </xdr:from>
        <xdr:to>
          <xdr:col>1</xdr:col>
          <xdr:colOff>0</xdr:colOff>
          <xdr:row>4</xdr:row>
          <xdr:rowOff>209550</xdr:rowOff>
        </xdr:to>
        <xdr:sp macro="" textlink="">
          <xdr:nvSpPr>
            <xdr:cNvPr id="16385" name="Object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9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133350</xdr:rowOff>
        </xdr:from>
        <xdr:to>
          <xdr:col>1</xdr:col>
          <xdr:colOff>0</xdr:colOff>
          <xdr:row>4</xdr:row>
          <xdr:rowOff>209550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A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133350</xdr:rowOff>
        </xdr:from>
        <xdr:to>
          <xdr:col>1</xdr:col>
          <xdr:colOff>0</xdr:colOff>
          <xdr:row>4</xdr:row>
          <xdr:rowOff>209550</xdr:rowOff>
        </xdr:to>
        <xdr:sp macro="" textlink="">
          <xdr:nvSpPr>
            <xdr:cNvPr id="18433" name="Object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B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6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image" Target="../media/image2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7.bin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image" Target="../media/image2.emf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8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openxmlformats.org/officeDocument/2006/relationships/image" Target="../media/image2.emf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0.bin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4" Type="http://schemas.openxmlformats.org/officeDocument/2006/relationships/image" Target="../media/image1.wmf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1.bin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4" Type="http://schemas.openxmlformats.org/officeDocument/2006/relationships/image" Target="../media/image1.wmf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2.bin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workbookViewId="0">
      <selection activeCell="K19" sqref="K19"/>
    </sheetView>
  </sheetViews>
  <sheetFormatPr defaultRowHeight="15" x14ac:dyDescent="0.25"/>
  <cols>
    <col min="1" max="1" width="15.28515625" customWidth="1"/>
    <col min="2" max="2" width="13.5703125" customWidth="1"/>
    <col min="3" max="3" width="13.28515625" style="3" customWidth="1"/>
    <col min="4" max="4" width="16.85546875" customWidth="1"/>
    <col min="5" max="5" width="17" customWidth="1"/>
    <col min="8" max="8" width="44" customWidth="1"/>
  </cols>
  <sheetData>
    <row r="1" spans="1:8" x14ac:dyDescent="0.25">
      <c r="A1" s="11"/>
      <c r="B1" s="12"/>
      <c r="C1" s="13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15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15"/>
      <c r="D6" s="7"/>
      <c r="E6" s="7"/>
      <c r="F6" s="7"/>
      <c r="G6" s="7"/>
      <c r="H6" s="4"/>
    </row>
    <row r="7" spans="1:8" x14ac:dyDescent="0.25">
      <c r="A7" s="5" t="s">
        <v>2</v>
      </c>
      <c r="B7" s="31">
        <v>128584</v>
      </c>
      <c r="C7" s="15"/>
      <c r="D7" s="16" t="s">
        <v>3</v>
      </c>
      <c r="E7" s="56" t="s">
        <v>22</v>
      </c>
      <c r="F7" s="83"/>
      <c r="G7" s="83"/>
      <c r="H7" s="84"/>
    </row>
    <row r="8" spans="1:8" x14ac:dyDescent="0.25">
      <c r="A8" s="5" t="s">
        <v>4</v>
      </c>
      <c r="B8" s="31" t="s">
        <v>35</v>
      </c>
      <c r="C8" s="15"/>
      <c r="D8" s="16" t="s">
        <v>5</v>
      </c>
      <c r="E8" s="31" t="s">
        <v>6</v>
      </c>
      <c r="F8" s="56"/>
      <c r="G8" s="57"/>
      <c r="H8" s="58"/>
    </row>
    <row r="9" spans="1:8" x14ac:dyDescent="0.25">
      <c r="A9" s="5" t="s">
        <v>8</v>
      </c>
      <c r="B9" s="31" t="s">
        <v>9</v>
      </c>
      <c r="C9" s="15"/>
      <c r="D9" s="16" t="s">
        <v>7</v>
      </c>
      <c r="E9" s="56" t="s">
        <v>21</v>
      </c>
      <c r="F9" s="72"/>
      <c r="G9" s="72"/>
      <c r="H9" s="73"/>
    </row>
    <row r="10" spans="1:8" x14ac:dyDescent="0.25">
      <c r="A10" s="14"/>
      <c r="B10" s="7"/>
      <c r="C10" s="15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473</v>
      </c>
      <c r="C11" s="15"/>
      <c r="D11" s="16" t="s">
        <v>11</v>
      </c>
      <c r="E11" s="31">
        <v>38490</v>
      </c>
      <c r="F11" s="7"/>
      <c r="G11" s="16" t="s">
        <v>12</v>
      </c>
      <c r="H11" s="36">
        <v>19091</v>
      </c>
    </row>
    <row r="12" spans="1:8" x14ac:dyDescent="0.25">
      <c r="A12" s="5" t="s">
        <v>43</v>
      </c>
      <c r="B12" s="31">
        <v>450</v>
      </c>
      <c r="C12" s="15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15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15"/>
      <c r="D14" s="7"/>
      <c r="E14" s="7"/>
      <c r="F14" s="7"/>
      <c r="G14" s="7"/>
      <c r="H14" s="4"/>
    </row>
    <row r="15" spans="1:8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ht="18.75" customHeight="1" x14ac:dyDescent="0.25">
      <c r="A16" s="61"/>
      <c r="B16" s="61"/>
      <c r="C16" s="63"/>
      <c r="D16" s="69"/>
      <c r="E16" s="70"/>
      <c r="F16" s="67"/>
      <c r="G16" s="68"/>
      <c r="H16" s="69"/>
    </row>
    <row r="17" spans="1:10" ht="26.25" customHeight="1" x14ac:dyDescent="0.25">
      <c r="A17" s="26" t="s">
        <v>58</v>
      </c>
      <c r="B17" s="27">
        <v>0.3125</v>
      </c>
      <c r="C17" s="28">
        <v>0.95833333333333337</v>
      </c>
      <c r="D17" s="31">
        <v>15.5</v>
      </c>
      <c r="E17" s="31" t="s">
        <v>59</v>
      </c>
      <c r="F17" s="54" t="s">
        <v>104</v>
      </c>
      <c r="G17" s="54"/>
      <c r="H17" s="55"/>
    </row>
    <row r="18" spans="1:10" ht="18.75" customHeight="1" x14ac:dyDescent="0.25">
      <c r="A18" s="26" t="s">
        <v>60</v>
      </c>
      <c r="B18" s="27">
        <v>0.35416666666666669</v>
      </c>
      <c r="C18" s="27">
        <v>0.6875</v>
      </c>
      <c r="D18" s="31">
        <v>8</v>
      </c>
      <c r="E18" s="31" t="s">
        <v>56</v>
      </c>
      <c r="F18" s="54" t="s">
        <v>54</v>
      </c>
      <c r="G18" s="54"/>
      <c r="H18" s="55"/>
    </row>
    <row r="19" spans="1:10" ht="33.75" customHeight="1" x14ac:dyDescent="0.25">
      <c r="A19" s="26" t="s">
        <v>67</v>
      </c>
      <c r="B19" s="27">
        <v>0.35416666666666669</v>
      </c>
      <c r="C19" s="27">
        <v>0.75</v>
      </c>
      <c r="D19" s="31">
        <v>9.5</v>
      </c>
      <c r="E19" s="31" t="s">
        <v>59</v>
      </c>
      <c r="F19" s="54" t="s">
        <v>68</v>
      </c>
      <c r="G19" s="54"/>
      <c r="H19" s="55"/>
    </row>
    <row r="20" spans="1:10" x14ac:dyDescent="0.25">
      <c r="A20" s="26" t="s">
        <v>74</v>
      </c>
      <c r="B20" s="27">
        <v>0.35416666666666669</v>
      </c>
      <c r="C20" s="27">
        <v>0.72916666666666663</v>
      </c>
      <c r="D20" s="31">
        <v>9</v>
      </c>
      <c r="E20" s="31" t="s">
        <v>56</v>
      </c>
      <c r="F20" s="54" t="s">
        <v>75</v>
      </c>
      <c r="G20" s="54"/>
      <c r="H20" s="55"/>
    </row>
    <row r="21" spans="1:10" x14ac:dyDescent="0.25">
      <c r="A21" s="26" t="s">
        <v>78</v>
      </c>
      <c r="B21" s="27">
        <v>0.3125</v>
      </c>
      <c r="C21" s="27">
        <v>0.97916666666666663</v>
      </c>
      <c r="D21" s="31">
        <v>16</v>
      </c>
      <c r="E21" s="31" t="s">
        <v>64</v>
      </c>
      <c r="F21" s="56" t="s">
        <v>79</v>
      </c>
      <c r="G21" s="57"/>
      <c r="H21" s="58"/>
    </row>
    <row r="22" spans="1:10" ht="31.5" customHeight="1" x14ac:dyDescent="0.25">
      <c r="A22" s="8" t="s">
        <v>81</v>
      </c>
      <c r="B22" s="27">
        <v>0.25</v>
      </c>
      <c r="C22" s="27">
        <v>0.9375</v>
      </c>
      <c r="D22" s="31">
        <v>16.5</v>
      </c>
      <c r="E22" s="31" t="s">
        <v>76</v>
      </c>
      <c r="F22" s="54" t="s">
        <v>106</v>
      </c>
      <c r="G22" s="54"/>
      <c r="H22" s="55"/>
    </row>
    <row r="23" spans="1:10" x14ac:dyDescent="0.25">
      <c r="A23" s="26" t="s">
        <v>83</v>
      </c>
      <c r="B23" s="27">
        <v>0.29166666666666669</v>
      </c>
      <c r="C23" s="27">
        <v>0.95833333333333337</v>
      </c>
      <c r="D23" s="31">
        <v>16</v>
      </c>
      <c r="E23" s="31" t="s">
        <v>64</v>
      </c>
      <c r="F23" s="54" t="s">
        <v>84</v>
      </c>
      <c r="G23" s="54"/>
      <c r="H23" s="55"/>
    </row>
    <row r="24" spans="1:10" ht="31.5" customHeight="1" x14ac:dyDescent="0.25">
      <c r="A24" s="26" t="s">
        <v>86</v>
      </c>
      <c r="B24" s="27">
        <v>0.35416666666666669</v>
      </c>
      <c r="C24" s="27">
        <v>0.8125</v>
      </c>
      <c r="D24" s="31">
        <v>11</v>
      </c>
      <c r="E24" s="31" t="s">
        <v>56</v>
      </c>
      <c r="F24" s="87" t="s">
        <v>110</v>
      </c>
      <c r="G24" s="88"/>
      <c r="H24" s="89"/>
    </row>
    <row r="25" spans="1:10" x14ac:dyDescent="0.25">
      <c r="A25" s="37" t="s">
        <v>89</v>
      </c>
      <c r="B25" s="27">
        <v>0.35416666666666669</v>
      </c>
      <c r="C25" s="27">
        <v>0.6875</v>
      </c>
      <c r="D25" s="31">
        <v>8</v>
      </c>
      <c r="E25" s="31" t="s">
        <v>56</v>
      </c>
      <c r="F25" s="56" t="s">
        <v>90</v>
      </c>
      <c r="G25" s="57"/>
      <c r="H25" s="59"/>
    </row>
    <row r="26" spans="1:10" x14ac:dyDescent="0.25">
      <c r="A26" s="41" t="s">
        <v>95</v>
      </c>
      <c r="B26" s="27">
        <v>0.33333333333333331</v>
      </c>
      <c r="C26" s="27">
        <v>0.75</v>
      </c>
      <c r="D26" s="31">
        <v>10</v>
      </c>
      <c r="E26" s="31" t="s">
        <v>76</v>
      </c>
      <c r="F26" s="54" t="s">
        <v>96</v>
      </c>
      <c r="G26" s="54"/>
      <c r="H26" s="55"/>
    </row>
    <row r="27" spans="1:10" x14ac:dyDescent="0.25">
      <c r="A27" s="39"/>
      <c r="B27" s="27"/>
      <c r="C27" s="27"/>
      <c r="D27" s="31"/>
      <c r="E27" s="31"/>
      <c r="F27" s="56"/>
      <c r="G27" s="57"/>
      <c r="H27" s="57"/>
    </row>
    <row r="28" spans="1:10" x14ac:dyDescent="0.25">
      <c r="A28" s="37"/>
      <c r="B28" s="27"/>
      <c r="C28" s="27"/>
      <c r="D28" s="31"/>
      <c r="E28" s="31"/>
      <c r="F28" s="56"/>
      <c r="G28" s="57"/>
      <c r="H28" s="59"/>
    </row>
    <row r="29" spans="1:10" x14ac:dyDescent="0.25">
      <c r="A29" s="5" t="s">
        <v>46</v>
      </c>
      <c r="B29" s="9">
        <f>SUM(D17:D28)</f>
        <v>119.5</v>
      </c>
      <c r="C29" s="15"/>
      <c r="D29" s="7"/>
      <c r="E29" s="16" t="s">
        <v>17</v>
      </c>
      <c r="F29" s="46">
        <f>D30*450</f>
        <v>6721.875</v>
      </c>
      <c r="G29" s="47"/>
      <c r="H29" s="4"/>
    </row>
    <row r="30" spans="1:10" x14ac:dyDescent="0.25">
      <c r="A30" s="14"/>
      <c r="B30" s="7"/>
      <c r="C30" s="17" t="s">
        <v>47</v>
      </c>
      <c r="D30" s="31">
        <f>B29/8</f>
        <v>14.9375</v>
      </c>
      <c r="E30" s="7"/>
      <c r="F30" s="7"/>
      <c r="G30" s="7"/>
      <c r="H30" s="4"/>
    </row>
    <row r="31" spans="1:10" x14ac:dyDescent="0.25">
      <c r="A31" s="14"/>
      <c r="B31" s="7"/>
      <c r="C31" s="15"/>
      <c r="D31" s="7"/>
      <c r="E31" s="7"/>
      <c r="F31" s="7"/>
      <c r="G31" s="7"/>
      <c r="H31" s="4"/>
    </row>
    <row r="32" spans="1:10" x14ac:dyDescent="0.25">
      <c r="A32" s="14"/>
      <c r="B32" s="7"/>
      <c r="C32" s="15"/>
      <c r="D32" s="7"/>
      <c r="E32" s="7"/>
      <c r="F32" s="7"/>
      <c r="G32" s="7"/>
      <c r="H32" s="4"/>
      <c r="J32" t="s">
        <v>38</v>
      </c>
    </row>
    <row r="33" spans="1:8" x14ac:dyDescent="0.25">
      <c r="A33" s="5" t="s">
        <v>18</v>
      </c>
      <c r="B33" s="18"/>
      <c r="C33" s="15"/>
      <c r="D33" s="7"/>
      <c r="E33" s="48" t="s">
        <v>20</v>
      </c>
      <c r="F33" s="48"/>
      <c r="G33" s="48"/>
      <c r="H33" s="49"/>
    </row>
    <row r="34" spans="1:8" x14ac:dyDescent="0.25">
      <c r="A34" s="50"/>
      <c r="B34" s="51"/>
      <c r="C34" s="51"/>
      <c r="D34" s="51"/>
      <c r="E34" s="51"/>
      <c r="F34" s="51"/>
      <c r="G34" s="51"/>
      <c r="H34" s="19"/>
    </row>
    <row r="35" spans="1:8" x14ac:dyDescent="0.25">
      <c r="A35" s="52"/>
      <c r="B35" s="53"/>
      <c r="C35" s="53"/>
      <c r="D35" s="53"/>
      <c r="E35" s="53"/>
      <c r="F35" s="53"/>
      <c r="G35" s="53"/>
      <c r="H35" s="20"/>
    </row>
    <row r="36" spans="1:8" x14ac:dyDescent="0.25">
      <c r="A36" s="14"/>
      <c r="B36" s="7"/>
      <c r="C36" s="15"/>
      <c r="D36" s="7"/>
      <c r="E36" s="7"/>
      <c r="F36" s="7"/>
      <c r="G36" s="7"/>
      <c r="H36" s="4"/>
    </row>
    <row r="37" spans="1:8" ht="15.75" thickBot="1" x14ac:dyDescent="0.3">
      <c r="A37" s="6" t="s">
        <v>18</v>
      </c>
      <c r="B37" s="21"/>
      <c r="C37" s="22"/>
      <c r="D37" s="23"/>
      <c r="E37" s="42" t="s">
        <v>19</v>
      </c>
      <c r="F37" s="42"/>
      <c r="G37" s="42"/>
      <c r="H37" s="43"/>
    </row>
  </sheetData>
  <mergeCells count="30">
    <mergeCell ref="F26:H26"/>
    <mergeCell ref="E12:F12"/>
    <mergeCell ref="E9:H9"/>
    <mergeCell ref="F1:H1"/>
    <mergeCell ref="B2:H3"/>
    <mergeCell ref="C5:E5"/>
    <mergeCell ref="E7:H7"/>
    <mergeCell ref="F8:H8"/>
    <mergeCell ref="A15:A16"/>
    <mergeCell ref="B15:B16"/>
    <mergeCell ref="C15:C16"/>
    <mergeCell ref="F15:H16"/>
    <mergeCell ref="D15:D16"/>
    <mergeCell ref="E15:E16"/>
    <mergeCell ref="E37:H37"/>
    <mergeCell ref="F17:H17"/>
    <mergeCell ref="F29:G29"/>
    <mergeCell ref="E33:H33"/>
    <mergeCell ref="A34:G34"/>
    <mergeCell ref="A35:G35"/>
    <mergeCell ref="F19:H19"/>
    <mergeCell ref="F18:H18"/>
    <mergeCell ref="F20:H20"/>
    <mergeCell ref="F21:H21"/>
    <mergeCell ref="F22:H22"/>
    <mergeCell ref="F23:H23"/>
    <mergeCell ref="F24:H24"/>
    <mergeCell ref="F25:H25"/>
    <mergeCell ref="F28:H28"/>
    <mergeCell ref="F27:H27"/>
  </mergeCells>
  <pageMargins left="0.7" right="0.7" top="0.75" bottom="0.75" header="0.3" footer="0.3"/>
  <pageSetup paperSize="9" scale="94" orientation="portrait" verticalDpi="598" r:id="rId1"/>
  <drawing r:id="rId2"/>
  <legacyDrawing r:id="rId3"/>
  <oleObjects>
    <mc:AlternateContent xmlns:mc="http://schemas.openxmlformats.org/markup-compatibility/2006">
      <mc:Choice Requires="x14">
        <oleObject progId="Word.Picture.8" shapeId="2049" r:id="rId4">
          <objectPr defaultSize="0" autoPict="0" r:id="rId5">
            <anchor moveWithCells="1" sizeWithCells="1">
              <from>
                <xdr:col>0</xdr:col>
                <xdr:colOff>133350</xdr:colOff>
                <xdr:row>1</xdr:row>
                <xdr:rowOff>0</xdr:rowOff>
              </from>
              <to>
                <xdr:col>0</xdr:col>
                <xdr:colOff>914400</xdr:colOff>
                <xdr:row>5</xdr:row>
                <xdr:rowOff>28575</xdr:rowOff>
              </to>
            </anchor>
          </objectPr>
        </oleObject>
      </mc:Choice>
      <mc:Fallback>
        <oleObject progId="Word.Picture.8" shapeId="204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>
      <selection activeCell="M26" sqref="M26"/>
    </sheetView>
  </sheetViews>
  <sheetFormatPr defaultRowHeight="15" x14ac:dyDescent="0.25"/>
  <cols>
    <col min="1" max="1" width="17" customWidth="1"/>
    <col min="3" max="3" width="12.42578125" customWidth="1"/>
    <col min="4" max="4" width="15.28515625" customWidth="1"/>
    <col min="5" max="5" width="15.5703125" customWidth="1"/>
    <col min="7" max="7" width="17.7109375" customWidth="1"/>
    <col min="8" max="8" width="19.28515625" customWidth="1"/>
    <col min="11" max="11" width="9.140625" customWidth="1"/>
    <col min="15" max="15" width="9.140625" customWidth="1"/>
  </cols>
  <sheetData>
    <row r="1" spans="1:8" x14ac:dyDescent="0.25">
      <c r="A1" s="11"/>
      <c r="B1" s="12"/>
      <c r="C1" s="12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7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7"/>
      <c r="D6" s="7"/>
      <c r="E6" s="7"/>
      <c r="F6" s="7"/>
      <c r="G6" s="7"/>
      <c r="H6" s="4"/>
    </row>
    <row r="7" spans="1:8" x14ac:dyDescent="0.25">
      <c r="A7" s="5" t="s">
        <v>2</v>
      </c>
      <c r="B7" s="31">
        <v>128787</v>
      </c>
      <c r="C7" s="7"/>
      <c r="D7" s="16" t="s">
        <v>3</v>
      </c>
      <c r="E7" s="56" t="s">
        <v>23</v>
      </c>
      <c r="F7" s="57"/>
      <c r="G7" s="57"/>
      <c r="H7" s="58"/>
    </row>
    <row r="8" spans="1:8" x14ac:dyDescent="0.25">
      <c r="A8" s="5" t="s">
        <v>4</v>
      </c>
      <c r="B8" s="31" t="s">
        <v>36</v>
      </c>
      <c r="C8" s="7"/>
      <c r="D8" s="16" t="s">
        <v>5</v>
      </c>
      <c r="E8" s="56" t="s">
        <v>6</v>
      </c>
      <c r="F8" s="59"/>
      <c r="G8" s="7"/>
      <c r="H8" s="4"/>
    </row>
    <row r="9" spans="1:8" x14ac:dyDescent="0.25">
      <c r="A9" s="5" t="s">
        <v>8</v>
      </c>
      <c r="B9" s="31" t="s">
        <v>9</v>
      </c>
      <c r="C9" s="7"/>
      <c r="D9" s="16" t="s">
        <v>7</v>
      </c>
      <c r="E9" s="56" t="s">
        <v>21</v>
      </c>
      <c r="F9" s="57"/>
      <c r="G9" s="57"/>
      <c r="H9" s="58"/>
    </row>
    <row r="10" spans="1:8" x14ac:dyDescent="0.25">
      <c r="A10" s="14"/>
      <c r="B10" s="7"/>
      <c r="C10" s="7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473</v>
      </c>
      <c r="C11" s="7"/>
      <c r="D11" s="16" t="s">
        <v>11</v>
      </c>
      <c r="E11" s="56">
        <v>43250</v>
      </c>
      <c r="F11" s="59"/>
      <c r="G11" s="16" t="s">
        <v>12</v>
      </c>
      <c r="H11" s="36">
        <v>21452</v>
      </c>
    </row>
    <row r="12" spans="1:8" x14ac:dyDescent="0.25">
      <c r="A12" s="5" t="s">
        <v>49</v>
      </c>
      <c r="B12" s="31">
        <v>450</v>
      </c>
      <c r="C12" s="7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7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7"/>
      <c r="D14" s="7"/>
      <c r="E14" s="7"/>
      <c r="F14" s="7"/>
      <c r="G14" s="7"/>
      <c r="H14" s="4"/>
    </row>
    <row r="15" spans="1:8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x14ac:dyDescent="0.25">
      <c r="A16" s="61"/>
      <c r="B16" s="61"/>
      <c r="C16" s="63"/>
      <c r="D16" s="69"/>
      <c r="E16" s="70"/>
      <c r="F16" s="67"/>
      <c r="G16" s="68"/>
      <c r="H16" s="69"/>
    </row>
    <row r="17" spans="1:8" ht="15" customHeight="1" x14ac:dyDescent="0.25">
      <c r="A17" s="37" t="s">
        <v>53</v>
      </c>
      <c r="B17" s="27">
        <v>0.35416666666666669</v>
      </c>
      <c r="C17" s="27">
        <v>0.72916666666666663</v>
      </c>
      <c r="D17" s="31">
        <v>9</v>
      </c>
      <c r="E17" s="31" t="s">
        <v>56</v>
      </c>
      <c r="F17" s="54" t="s">
        <v>54</v>
      </c>
      <c r="G17" s="54"/>
      <c r="H17" s="54"/>
    </row>
    <row r="18" spans="1:8" ht="31.5" customHeight="1" x14ac:dyDescent="0.25">
      <c r="A18" s="37" t="s">
        <v>60</v>
      </c>
      <c r="B18" s="27">
        <v>0.3125</v>
      </c>
      <c r="C18" s="27">
        <v>0.91666666666666663</v>
      </c>
      <c r="D18" s="31">
        <v>14.5</v>
      </c>
      <c r="E18" s="31" t="s">
        <v>59</v>
      </c>
      <c r="F18" s="54" t="s">
        <v>102</v>
      </c>
      <c r="G18" s="54"/>
      <c r="H18" s="54"/>
    </row>
    <row r="19" spans="1:8" ht="15.75" customHeight="1" x14ac:dyDescent="0.25">
      <c r="A19" s="37" t="s">
        <v>67</v>
      </c>
      <c r="B19" s="27">
        <v>0.35416666666666669</v>
      </c>
      <c r="C19" s="28">
        <v>0.6875</v>
      </c>
      <c r="D19" s="31">
        <v>8</v>
      </c>
      <c r="E19" s="31" t="s">
        <v>56</v>
      </c>
      <c r="F19" s="44" t="s">
        <v>54</v>
      </c>
      <c r="G19" s="44"/>
      <c r="H19" s="44"/>
    </row>
    <row r="20" spans="1:8" x14ac:dyDescent="0.25">
      <c r="A20" s="37" t="s">
        <v>72</v>
      </c>
      <c r="B20" s="27">
        <v>0.3125</v>
      </c>
      <c r="C20" s="27">
        <v>0.79166666666666663</v>
      </c>
      <c r="D20" s="31">
        <v>11.5</v>
      </c>
      <c r="E20" s="31" t="s">
        <v>56</v>
      </c>
      <c r="F20" s="54" t="s">
        <v>73</v>
      </c>
      <c r="G20" s="54"/>
      <c r="H20" s="54"/>
    </row>
    <row r="21" spans="1:8" ht="33" customHeight="1" x14ac:dyDescent="0.25">
      <c r="A21" s="40" t="s">
        <v>80</v>
      </c>
      <c r="B21" s="27">
        <v>0.3125</v>
      </c>
      <c r="C21" s="27">
        <v>0.99930555555555556</v>
      </c>
      <c r="D21" s="31">
        <v>16.5</v>
      </c>
      <c r="E21" s="31" t="s">
        <v>64</v>
      </c>
      <c r="F21" s="54" t="s">
        <v>103</v>
      </c>
      <c r="G21" s="54"/>
      <c r="H21" s="54"/>
    </row>
    <row r="22" spans="1:8" ht="34.5" customHeight="1" x14ac:dyDescent="0.25">
      <c r="A22" s="37" t="s">
        <v>82</v>
      </c>
      <c r="B22" s="27">
        <v>0.25</v>
      </c>
      <c r="C22" s="27">
        <v>0.8125</v>
      </c>
      <c r="D22" s="31">
        <v>13.5</v>
      </c>
      <c r="E22" s="31" t="s">
        <v>59</v>
      </c>
      <c r="F22" s="54" t="s">
        <v>108</v>
      </c>
      <c r="G22" s="54"/>
      <c r="H22" s="54"/>
    </row>
    <row r="23" spans="1:8" x14ac:dyDescent="0.25">
      <c r="A23" s="37" t="s">
        <v>83</v>
      </c>
      <c r="B23" s="27">
        <v>0.29166666666666669</v>
      </c>
      <c r="C23" s="27">
        <v>0.9375</v>
      </c>
      <c r="D23" s="31">
        <v>15.5</v>
      </c>
      <c r="E23" s="31" t="s">
        <v>64</v>
      </c>
      <c r="F23" s="44" t="s">
        <v>85</v>
      </c>
      <c r="G23" s="44"/>
      <c r="H23" s="44"/>
    </row>
    <row r="24" spans="1:8" x14ac:dyDescent="0.25">
      <c r="A24" s="37" t="s">
        <v>87</v>
      </c>
      <c r="B24" s="27">
        <v>0.35416666666666669</v>
      </c>
      <c r="C24" s="27">
        <v>0.79166666666666663</v>
      </c>
      <c r="D24" s="31">
        <v>10.5</v>
      </c>
      <c r="E24" s="31" t="s">
        <v>56</v>
      </c>
      <c r="F24" s="44" t="s">
        <v>88</v>
      </c>
      <c r="G24" s="44"/>
      <c r="H24" s="44"/>
    </row>
    <row r="25" spans="1:8" x14ac:dyDescent="0.25">
      <c r="A25" s="37" t="s">
        <v>91</v>
      </c>
      <c r="B25" s="27">
        <v>0.3125</v>
      </c>
      <c r="C25" s="27">
        <v>0.89583333333333337</v>
      </c>
      <c r="D25" s="27">
        <v>0.58333333333333337</v>
      </c>
      <c r="E25" s="31" t="s">
        <v>59</v>
      </c>
      <c r="F25" s="56" t="s">
        <v>92</v>
      </c>
      <c r="G25" s="57"/>
      <c r="H25" s="59"/>
    </row>
    <row r="26" spans="1:8" ht="32.25" customHeight="1" x14ac:dyDescent="0.25">
      <c r="A26" s="37" t="s">
        <v>97</v>
      </c>
      <c r="B26" s="27">
        <v>0.29166666666666669</v>
      </c>
      <c r="C26" s="27">
        <v>0.89583333333333337</v>
      </c>
      <c r="D26" s="31">
        <v>14.5</v>
      </c>
      <c r="E26" s="31" t="s">
        <v>59</v>
      </c>
      <c r="F26" s="87" t="s">
        <v>105</v>
      </c>
      <c r="G26" s="88"/>
      <c r="H26" s="90"/>
    </row>
    <row r="27" spans="1:8" x14ac:dyDescent="0.25">
      <c r="A27" s="37"/>
      <c r="B27" s="27"/>
      <c r="C27" s="27"/>
      <c r="D27" s="31"/>
      <c r="E27" s="31"/>
      <c r="F27" s="56"/>
      <c r="G27" s="57"/>
      <c r="H27" s="59"/>
    </row>
    <row r="28" spans="1:8" ht="17.25" customHeight="1" x14ac:dyDescent="0.25">
      <c r="A28" s="31"/>
      <c r="B28" s="27"/>
      <c r="C28" s="29"/>
      <c r="D28" s="30"/>
      <c r="E28" s="31"/>
      <c r="F28" s="44"/>
      <c r="G28" s="44"/>
      <c r="H28" s="44"/>
    </row>
    <row r="29" spans="1:8" x14ac:dyDescent="0.25">
      <c r="A29" s="5" t="s">
        <v>46</v>
      </c>
      <c r="B29" s="9">
        <f>SUM(D17:D28)</f>
        <v>114.08333333333333</v>
      </c>
      <c r="C29" s="15"/>
      <c r="D29" s="7"/>
      <c r="E29" s="16" t="s">
        <v>17</v>
      </c>
      <c r="F29" s="46">
        <f>D30*450</f>
        <v>6417.1875</v>
      </c>
      <c r="G29" s="47"/>
      <c r="H29" s="4"/>
    </row>
    <row r="30" spans="1:8" x14ac:dyDescent="0.25">
      <c r="A30" s="14"/>
      <c r="B30" s="7"/>
      <c r="C30" s="17" t="s">
        <v>47</v>
      </c>
      <c r="D30" s="31">
        <f>B29/8</f>
        <v>14.260416666666666</v>
      </c>
      <c r="E30" s="7"/>
      <c r="F30" s="7"/>
      <c r="G30" s="7"/>
      <c r="H30" s="4"/>
    </row>
    <row r="31" spans="1:8" x14ac:dyDescent="0.25">
      <c r="A31" s="14"/>
      <c r="B31" s="7"/>
      <c r="C31" s="15"/>
      <c r="D31" s="7"/>
      <c r="E31" s="7"/>
      <c r="F31" s="7"/>
      <c r="G31" s="7"/>
      <c r="H31" s="4"/>
    </row>
    <row r="32" spans="1:8" x14ac:dyDescent="0.25">
      <c r="A32" s="14"/>
      <c r="B32" s="7"/>
      <c r="C32" s="15"/>
      <c r="D32" s="7"/>
      <c r="E32" s="7"/>
      <c r="F32" s="7"/>
      <c r="G32" s="7"/>
      <c r="H32" s="4"/>
    </row>
    <row r="33" spans="1:8" x14ac:dyDescent="0.25">
      <c r="A33" s="5" t="s">
        <v>18</v>
      </c>
      <c r="B33" s="18"/>
      <c r="C33" s="15"/>
      <c r="D33" s="7"/>
      <c r="E33" s="48" t="s">
        <v>20</v>
      </c>
      <c r="F33" s="48"/>
      <c r="G33" s="48"/>
      <c r="H33" s="49"/>
    </row>
    <row r="34" spans="1:8" x14ac:dyDescent="0.25">
      <c r="A34" s="50"/>
      <c r="B34" s="51"/>
      <c r="C34" s="51"/>
      <c r="D34" s="51"/>
      <c r="E34" s="51"/>
      <c r="F34" s="51"/>
      <c r="G34" s="51"/>
      <c r="H34" s="19"/>
    </row>
    <row r="35" spans="1:8" x14ac:dyDescent="0.25">
      <c r="A35" s="32"/>
      <c r="B35" s="33"/>
      <c r="C35" s="24"/>
      <c r="D35" s="33"/>
      <c r="E35" s="33"/>
      <c r="F35" s="33"/>
      <c r="G35" s="33"/>
      <c r="H35" s="20"/>
    </row>
    <row r="36" spans="1:8" x14ac:dyDescent="0.25">
      <c r="A36" s="14"/>
      <c r="B36" s="7"/>
      <c r="C36" s="15"/>
      <c r="D36" s="7"/>
      <c r="E36" s="7"/>
      <c r="F36" s="7"/>
      <c r="G36" s="7"/>
      <c r="H36" s="4"/>
    </row>
    <row r="37" spans="1:8" ht="15.75" thickBot="1" x14ac:dyDescent="0.3">
      <c r="A37" s="6" t="s">
        <v>18</v>
      </c>
      <c r="B37" s="21"/>
      <c r="C37" s="22"/>
      <c r="D37" s="23"/>
      <c r="E37" s="42" t="s">
        <v>19</v>
      </c>
      <c r="F37" s="42"/>
      <c r="G37" s="42"/>
      <c r="H37" s="43"/>
    </row>
  </sheetData>
  <mergeCells count="30">
    <mergeCell ref="F19:H19"/>
    <mergeCell ref="F25:H25"/>
    <mergeCell ref="F26:H26"/>
    <mergeCell ref="F1:H1"/>
    <mergeCell ref="B2:H3"/>
    <mergeCell ref="C5:E5"/>
    <mergeCell ref="E7:H7"/>
    <mergeCell ref="E8:F8"/>
    <mergeCell ref="E9:H9"/>
    <mergeCell ref="E11:F11"/>
    <mergeCell ref="E12:F12"/>
    <mergeCell ref="F17:H17"/>
    <mergeCell ref="F18:H18"/>
    <mergeCell ref="F15:H16"/>
    <mergeCell ref="F27:H27"/>
    <mergeCell ref="E37:H37"/>
    <mergeCell ref="D15:D16"/>
    <mergeCell ref="E15:E16"/>
    <mergeCell ref="F21:H21"/>
    <mergeCell ref="F22:H22"/>
    <mergeCell ref="F24:H24"/>
    <mergeCell ref="F23:H23"/>
    <mergeCell ref="F20:H20"/>
    <mergeCell ref="F28:H28"/>
    <mergeCell ref="F29:G29"/>
    <mergeCell ref="E33:H33"/>
    <mergeCell ref="A34:G34"/>
    <mergeCell ref="A15:A16"/>
    <mergeCell ref="B15:B16"/>
    <mergeCell ref="C15:C16"/>
  </mergeCells>
  <pageMargins left="0.7" right="0.7" top="0.75" bottom="0.75" header="0.3" footer="0.3"/>
  <pageSetup paperSize="9" scale="88" orientation="portrait" verticalDpi="598" r:id="rId1"/>
  <drawing r:id="rId2"/>
  <legacyDrawing r:id="rId3"/>
  <oleObjects>
    <mc:AlternateContent xmlns:mc="http://schemas.openxmlformats.org/markup-compatibility/2006">
      <mc:Choice Requires="x14">
        <oleObject progId="Word.Picture.8" shapeId="3073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133350</xdr:rowOff>
              </from>
              <to>
                <xdr:col>1</xdr:col>
                <xdr:colOff>0</xdr:colOff>
                <xdr:row>4</xdr:row>
                <xdr:rowOff>209550</xdr:rowOff>
              </to>
            </anchor>
          </objectPr>
        </oleObject>
      </mc:Choice>
      <mc:Fallback>
        <oleObject progId="Word.Picture.8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SheetLayoutView="40" workbookViewId="0">
      <selection activeCell="F18" sqref="F18:H18"/>
    </sheetView>
  </sheetViews>
  <sheetFormatPr defaultRowHeight="15" x14ac:dyDescent="0.25"/>
  <cols>
    <col min="1" max="1" width="15.7109375" customWidth="1"/>
    <col min="2" max="2" width="9.7109375" customWidth="1"/>
    <col min="3" max="3" width="13.42578125" customWidth="1"/>
    <col min="4" max="4" width="16" customWidth="1"/>
    <col min="5" max="5" width="16.42578125" customWidth="1"/>
    <col min="8" max="8" width="32" customWidth="1"/>
    <col min="12" max="12" width="9.140625" customWidth="1"/>
  </cols>
  <sheetData>
    <row r="1" spans="1:8" x14ac:dyDescent="0.25">
      <c r="A1" s="11"/>
      <c r="B1" s="12"/>
      <c r="C1" s="12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7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7"/>
      <c r="D6" s="7"/>
      <c r="E6" s="7"/>
      <c r="F6" s="7"/>
      <c r="G6" s="7"/>
      <c r="H6" s="4"/>
    </row>
    <row r="7" spans="1:8" x14ac:dyDescent="0.25">
      <c r="A7" s="5" t="s">
        <v>2</v>
      </c>
      <c r="B7" s="31">
        <v>128864</v>
      </c>
      <c r="C7" s="7"/>
      <c r="D7" s="16" t="s">
        <v>3</v>
      </c>
      <c r="E7" s="56" t="s">
        <v>24</v>
      </c>
      <c r="F7" s="57"/>
      <c r="G7" s="57"/>
      <c r="H7" s="58"/>
    </row>
    <row r="8" spans="1:8" x14ac:dyDescent="0.25">
      <c r="A8" s="5" t="s">
        <v>4</v>
      </c>
      <c r="B8" s="31" t="s">
        <v>37</v>
      </c>
      <c r="C8" s="7"/>
      <c r="D8" s="16" t="s">
        <v>5</v>
      </c>
      <c r="E8" s="56" t="s">
        <v>6</v>
      </c>
      <c r="F8" s="59"/>
      <c r="G8" s="7"/>
      <c r="H8" s="4"/>
    </row>
    <row r="9" spans="1:8" x14ac:dyDescent="0.25">
      <c r="A9" s="5" t="s">
        <v>8</v>
      </c>
      <c r="B9" s="31" t="s">
        <v>9</v>
      </c>
      <c r="C9" s="7"/>
      <c r="D9" s="16" t="s">
        <v>7</v>
      </c>
      <c r="E9" s="56" t="s">
        <v>21</v>
      </c>
      <c r="F9" s="57"/>
      <c r="G9" s="57"/>
      <c r="H9" s="58"/>
    </row>
    <row r="10" spans="1:8" x14ac:dyDescent="0.25">
      <c r="A10" s="14"/>
      <c r="B10" s="7"/>
      <c r="C10" s="7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473</v>
      </c>
      <c r="C11" s="7"/>
      <c r="D11" s="16" t="s">
        <v>11</v>
      </c>
      <c r="E11" s="56">
        <v>38490</v>
      </c>
      <c r="F11" s="59"/>
      <c r="G11" s="16" t="s">
        <v>12</v>
      </c>
      <c r="H11" s="36">
        <v>19091</v>
      </c>
    </row>
    <row r="12" spans="1:8" x14ac:dyDescent="0.25">
      <c r="A12" s="5" t="s">
        <v>49</v>
      </c>
      <c r="B12" s="31">
        <v>450</v>
      </c>
      <c r="C12" s="7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7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7"/>
      <c r="D14" s="7"/>
      <c r="E14" s="7"/>
      <c r="F14" s="7"/>
      <c r="G14" s="7"/>
      <c r="H14" s="4"/>
    </row>
    <row r="15" spans="1:8" ht="15" customHeight="1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x14ac:dyDescent="0.25">
      <c r="A16" s="61"/>
      <c r="B16" s="61"/>
      <c r="C16" s="63"/>
      <c r="D16" s="69"/>
      <c r="E16" s="70"/>
      <c r="F16" s="67"/>
      <c r="G16" s="68"/>
      <c r="H16" s="69"/>
    </row>
    <row r="17" spans="1:8" ht="15" customHeight="1" x14ac:dyDescent="0.25">
      <c r="A17" s="26" t="s">
        <v>53</v>
      </c>
      <c r="B17" s="27">
        <v>0.35416666666666669</v>
      </c>
      <c r="C17" s="27">
        <v>0.72916666666666663</v>
      </c>
      <c r="D17" s="31">
        <v>9</v>
      </c>
      <c r="E17" s="31" t="s">
        <v>56</v>
      </c>
      <c r="F17" s="54" t="s">
        <v>54</v>
      </c>
      <c r="G17" s="54"/>
      <c r="H17" s="55"/>
    </row>
    <row r="18" spans="1:8" ht="32.25" customHeight="1" x14ac:dyDescent="0.25">
      <c r="A18" s="26" t="s">
        <v>58</v>
      </c>
      <c r="B18" s="27">
        <v>0.3125</v>
      </c>
      <c r="C18" s="28">
        <v>0.95833333333333337</v>
      </c>
      <c r="D18" s="31">
        <v>15.5</v>
      </c>
      <c r="E18" s="31" t="s">
        <v>59</v>
      </c>
      <c r="F18" s="54" t="s">
        <v>104</v>
      </c>
      <c r="G18" s="54"/>
      <c r="H18" s="55"/>
    </row>
    <row r="19" spans="1:8" ht="15" customHeight="1" x14ac:dyDescent="0.25">
      <c r="A19" s="26" t="s">
        <v>60</v>
      </c>
      <c r="B19" s="27">
        <v>0.39583333333333331</v>
      </c>
      <c r="C19" s="27">
        <v>0.6875</v>
      </c>
      <c r="D19" s="31">
        <v>7</v>
      </c>
      <c r="E19" s="31" t="s">
        <v>61</v>
      </c>
      <c r="F19" s="54" t="s">
        <v>62</v>
      </c>
      <c r="G19" s="54"/>
      <c r="H19" s="55"/>
    </row>
    <row r="20" spans="1:8" x14ac:dyDescent="0.25">
      <c r="A20" s="26" t="s">
        <v>63</v>
      </c>
      <c r="B20" s="27">
        <v>0.33333333333333331</v>
      </c>
      <c r="C20" s="27">
        <v>0.91666666666666663</v>
      </c>
      <c r="D20" s="31">
        <v>16</v>
      </c>
      <c r="E20" s="31" t="s">
        <v>64</v>
      </c>
      <c r="F20" s="54" t="s">
        <v>65</v>
      </c>
      <c r="G20" s="54"/>
      <c r="H20" s="55"/>
    </row>
    <row r="21" spans="1:8" x14ac:dyDescent="0.25">
      <c r="A21" s="26" t="s">
        <v>74</v>
      </c>
      <c r="B21" s="27">
        <v>0.35416666666666669</v>
      </c>
      <c r="C21" s="27">
        <v>0.72916666666666663</v>
      </c>
      <c r="D21" s="31">
        <v>9</v>
      </c>
      <c r="E21" s="31" t="s">
        <v>56</v>
      </c>
      <c r="F21" s="54" t="s">
        <v>75</v>
      </c>
      <c r="G21" s="54"/>
      <c r="H21" s="55"/>
    </row>
    <row r="22" spans="1:8" x14ac:dyDescent="0.25">
      <c r="A22" s="26" t="s">
        <v>78</v>
      </c>
      <c r="B22" s="27">
        <v>0.3125</v>
      </c>
      <c r="C22" s="27">
        <v>0.97916666666666663</v>
      </c>
      <c r="D22" s="31">
        <v>16</v>
      </c>
      <c r="E22" s="31" t="s">
        <v>64</v>
      </c>
      <c r="F22" s="56" t="s">
        <v>79</v>
      </c>
      <c r="G22" s="57"/>
      <c r="H22" s="58"/>
    </row>
    <row r="23" spans="1:8" ht="35.25" customHeight="1" x14ac:dyDescent="0.25">
      <c r="A23" s="26" t="s">
        <v>82</v>
      </c>
      <c r="B23" s="27">
        <v>0.25</v>
      </c>
      <c r="C23" s="27">
        <v>0.8125</v>
      </c>
      <c r="D23" s="31">
        <v>13.5</v>
      </c>
      <c r="E23" s="31" t="s">
        <v>59</v>
      </c>
      <c r="F23" s="54" t="s">
        <v>108</v>
      </c>
      <c r="G23" s="54"/>
      <c r="H23" s="55"/>
    </row>
    <row r="24" spans="1:8" ht="28.5" customHeight="1" x14ac:dyDescent="0.25">
      <c r="A24" s="37" t="s">
        <v>97</v>
      </c>
      <c r="B24" s="27">
        <v>0.29166666666666669</v>
      </c>
      <c r="C24" s="27">
        <v>0.89583333333333337</v>
      </c>
      <c r="D24" s="31">
        <v>14.5</v>
      </c>
      <c r="E24" s="31" t="s">
        <v>59</v>
      </c>
      <c r="F24" s="87" t="s">
        <v>105</v>
      </c>
      <c r="G24" s="88"/>
      <c r="H24" s="90"/>
    </row>
    <row r="25" spans="1:8" x14ac:dyDescent="0.25">
      <c r="A25" s="37"/>
      <c r="B25" s="27"/>
      <c r="C25" s="27"/>
      <c r="D25" s="31"/>
      <c r="E25" s="31"/>
      <c r="F25" s="56"/>
      <c r="G25" s="57"/>
      <c r="H25" s="59"/>
    </row>
    <row r="26" spans="1:8" x14ac:dyDescent="0.25">
      <c r="A26" s="37"/>
      <c r="B26" s="27"/>
      <c r="C26" s="27"/>
      <c r="D26" s="31"/>
      <c r="E26" s="31"/>
      <c r="F26" s="56"/>
      <c r="G26" s="57"/>
      <c r="H26" s="59"/>
    </row>
    <row r="27" spans="1:8" ht="18.75" customHeight="1" x14ac:dyDescent="0.25">
      <c r="A27" s="5" t="s">
        <v>46</v>
      </c>
      <c r="B27" s="9">
        <f>SUM(D17:D26)</f>
        <v>100.5</v>
      </c>
      <c r="C27" s="15"/>
      <c r="D27" s="7"/>
      <c r="E27" s="16" t="s">
        <v>17</v>
      </c>
      <c r="F27" s="46">
        <f>B12*D28</f>
        <v>5653.125</v>
      </c>
      <c r="G27" s="47"/>
      <c r="H27" s="4"/>
    </row>
    <row r="28" spans="1:8" x14ac:dyDescent="0.25">
      <c r="A28" s="14"/>
      <c r="B28" s="7"/>
      <c r="C28" s="17" t="s">
        <v>47</v>
      </c>
      <c r="D28" s="31">
        <f>B27/8</f>
        <v>12.5625</v>
      </c>
      <c r="E28" s="7"/>
      <c r="F28" s="7"/>
      <c r="G28" s="7"/>
      <c r="H28" s="4"/>
    </row>
    <row r="29" spans="1:8" x14ac:dyDescent="0.25">
      <c r="A29" s="14"/>
      <c r="B29" s="7"/>
      <c r="C29" s="15"/>
      <c r="D29" s="7"/>
      <c r="E29" s="7"/>
      <c r="F29" s="7"/>
      <c r="G29" s="7"/>
      <c r="H29" s="4"/>
    </row>
    <row r="30" spans="1:8" x14ac:dyDescent="0.25">
      <c r="A30" s="14"/>
      <c r="B30" s="7"/>
      <c r="C30" s="15"/>
      <c r="D30" s="7"/>
      <c r="E30" s="7"/>
      <c r="F30" s="7"/>
      <c r="G30" s="7"/>
      <c r="H30" s="4"/>
    </row>
    <row r="31" spans="1:8" x14ac:dyDescent="0.25">
      <c r="A31" s="10" t="s">
        <v>18</v>
      </c>
      <c r="B31" s="31"/>
      <c r="C31" s="25"/>
      <c r="D31" s="34"/>
      <c r="E31" s="48" t="s">
        <v>20</v>
      </c>
      <c r="F31" s="48"/>
      <c r="G31" s="48"/>
      <c r="H31" s="49"/>
    </row>
    <row r="32" spans="1:8" x14ac:dyDescent="0.25">
      <c r="A32" s="14"/>
      <c r="B32" s="7"/>
      <c r="C32" s="7"/>
      <c r="D32" s="7"/>
      <c r="E32" s="7"/>
      <c r="F32" s="7"/>
      <c r="G32" s="7"/>
      <c r="H32" s="4"/>
    </row>
    <row r="33" spans="1:8" x14ac:dyDescent="0.25">
      <c r="A33" s="14"/>
      <c r="B33" s="7"/>
      <c r="C33" s="7"/>
      <c r="D33" s="7"/>
      <c r="E33" s="7"/>
      <c r="F33" s="7"/>
      <c r="G33" s="7"/>
      <c r="H33" s="4"/>
    </row>
    <row r="34" spans="1:8" ht="15.75" thickBot="1" x14ac:dyDescent="0.3">
      <c r="A34" s="6" t="s">
        <v>18</v>
      </c>
      <c r="B34" s="21"/>
      <c r="C34" s="22"/>
      <c r="D34" s="23"/>
      <c r="E34" s="42" t="s">
        <v>19</v>
      </c>
      <c r="F34" s="42"/>
      <c r="G34" s="42"/>
      <c r="H34" s="43"/>
    </row>
  </sheetData>
  <mergeCells count="27">
    <mergeCell ref="E34:H34"/>
    <mergeCell ref="E11:F11"/>
    <mergeCell ref="E12:F12"/>
    <mergeCell ref="F25:H25"/>
    <mergeCell ref="E9:H9"/>
    <mergeCell ref="F27:G27"/>
    <mergeCell ref="E31:H31"/>
    <mergeCell ref="F17:H17"/>
    <mergeCell ref="F18:H18"/>
    <mergeCell ref="F19:H19"/>
    <mergeCell ref="F20:H20"/>
    <mergeCell ref="F21:H21"/>
    <mergeCell ref="F23:H23"/>
    <mergeCell ref="F22:H22"/>
    <mergeCell ref="F26:H26"/>
    <mergeCell ref="F24:H24"/>
    <mergeCell ref="F1:H1"/>
    <mergeCell ref="B2:H3"/>
    <mergeCell ref="C5:E5"/>
    <mergeCell ref="E7:H7"/>
    <mergeCell ref="E8:F8"/>
    <mergeCell ref="A15:A16"/>
    <mergeCell ref="B15:B16"/>
    <mergeCell ref="C15:C16"/>
    <mergeCell ref="F15:H16"/>
    <mergeCell ref="D15:D16"/>
    <mergeCell ref="E15:E16"/>
  </mergeCells>
  <pageMargins left="0.7" right="0.7" top="0.75" bottom="0.75" header="0.3" footer="0.3"/>
  <pageSetup paperSize="9" scale="97" orientation="portrait" verticalDpi="598" r:id="rId1"/>
  <drawing r:id="rId2"/>
  <legacyDrawing r:id="rId3"/>
  <oleObjects>
    <mc:AlternateContent xmlns:mc="http://schemas.openxmlformats.org/markup-compatibility/2006">
      <mc:Choice Requires="x14">
        <oleObject progId="Word.Picture.8" shapeId="4097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133350</xdr:rowOff>
              </from>
              <to>
                <xdr:col>0</xdr:col>
                <xdr:colOff>857250</xdr:colOff>
                <xdr:row>4</xdr:row>
                <xdr:rowOff>209550</xdr:rowOff>
              </to>
            </anchor>
          </objectPr>
        </oleObject>
      </mc:Choice>
      <mc:Fallback>
        <oleObject progId="Word.Picture.8" shapeId="409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>
      <selection activeCell="J24" sqref="J24"/>
    </sheetView>
  </sheetViews>
  <sheetFormatPr defaultRowHeight="15" x14ac:dyDescent="0.25"/>
  <cols>
    <col min="1" max="1" width="18.140625" customWidth="1"/>
    <col min="2" max="2" width="12.42578125" customWidth="1"/>
    <col min="3" max="3" width="12.5703125" customWidth="1"/>
    <col min="4" max="4" width="17.28515625" customWidth="1"/>
    <col min="5" max="5" width="15" customWidth="1"/>
    <col min="8" max="8" width="57.140625" customWidth="1"/>
    <col min="9" max="9" width="23" customWidth="1"/>
  </cols>
  <sheetData>
    <row r="1" spans="1:8" x14ac:dyDescent="0.25">
      <c r="A1" s="11"/>
      <c r="B1" s="12"/>
      <c r="C1" s="12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7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7"/>
      <c r="D6" s="7"/>
      <c r="E6" s="7"/>
      <c r="F6" s="7"/>
      <c r="G6" s="7"/>
      <c r="H6" s="4"/>
    </row>
    <row r="7" spans="1:8" x14ac:dyDescent="0.25">
      <c r="A7" s="5" t="s">
        <v>2</v>
      </c>
      <c r="B7" s="31">
        <v>128798</v>
      </c>
      <c r="C7" s="7"/>
      <c r="D7" s="16" t="s">
        <v>3</v>
      </c>
      <c r="E7" s="56" t="s">
        <v>25</v>
      </c>
      <c r="F7" s="57"/>
      <c r="G7" s="57"/>
      <c r="H7" s="58"/>
    </row>
    <row r="8" spans="1:8" x14ac:dyDescent="0.25">
      <c r="A8" s="5" t="s">
        <v>4</v>
      </c>
      <c r="B8" s="31" t="s">
        <v>42</v>
      </c>
      <c r="C8" s="7"/>
      <c r="D8" s="16" t="s">
        <v>5</v>
      </c>
      <c r="E8" s="56" t="s">
        <v>6</v>
      </c>
      <c r="F8" s="59"/>
      <c r="G8" s="7"/>
      <c r="H8" s="4"/>
    </row>
    <row r="9" spans="1:8" x14ac:dyDescent="0.25">
      <c r="A9" s="5" t="s">
        <v>8</v>
      </c>
      <c r="B9" s="31" t="s">
        <v>9</v>
      </c>
      <c r="C9" s="7"/>
      <c r="D9" s="16" t="s">
        <v>7</v>
      </c>
      <c r="E9" s="56" t="s">
        <v>21</v>
      </c>
      <c r="F9" s="57"/>
      <c r="G9" s="57"/>
      <c r="H9" s="58"/>
    </row>
    <row r="10" spans="1:8" x14ac:dyDescent="0.25">
      <c r="A10" s="14"/>
      <c r="B10" s="7"/>
      <c r="C10" s="7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473</v>
      </c>
      <c r="C11" s="7"/>
      <c r="D11" s="16" t="s">
        <v>11</v>
      </c>
      <c r="E11" s="56">
        <v>38490</v>
      </c>
      <c r="F11" s="59"/>
      <c r="G11" s="16" t="s">
        <v>12</v>
      </c>
      <c r="H11" s="36">
        <v>19091</v>
      </c>
    </row>
    <row r="12" spans="1:8" x14ac:dyDescent="0.25">
      <c r="A12" s="5" t="s">
        <v>50</v>
      </c>
      <c r="B12" s="31">
        <v>450</v>
      </c>
      <c r="C12" s="7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7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7"/>
      <c r="D14" s="7"/>
      <c r="E14" s="7"/>
      <c r="F14" s="7"/>
      <c r="G14" s="7"/>
      <c r="H14" s="4"/>
    </row>
    <row r="15" spans="1:8" ht="15" customHeight="1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x14ac:dyDescent="0.25">
      <c r="A16" s="61"/>
      <c r="B16" s="61"/>
      <c r="C16" s="63"/>
      <c r="D16" s="69"/>
      <c r="E16" s="70"/>
      <c r="F16" s="67"/>
      <c r="G16" s="68"/>
      <c r="H16" s="69"/>
    </row>
    <row r="17" spans="1:8" ht="15.75" customHeight="1" x14ac:dyDescent="0.25">
      <c r="A17" s="26" t="s">
        <v>58</v>
      </c>
      <c r="B17" s="27">
        <v>0.3125</v>
      </c>
      <c r="C17" s="28">
        <v>0.95833333333333337</v>
      </c>
      <c r="D17" s="31">
        <v>15.5</v>
      </c>
      <c r="E17" s="31" t="s">
        <v>59</v>
      </c>
      <c r="F17" s="54" t="s">
        <v>104</v>
      </c>
      <c r="G17" s="54"/>
      <c r="H17" s="55"/>
    </row>
    <row r="18" spans="1:8" x14ac:dyDescent="0.25">
      <c r="A18" s="26" t="s">
        <v>63</v>
      </c>
      <c r="B18" s="27">
        <v>0.33333333333333331</v>
      </c>
      <c r="C18" s="27">
        <v>0.91666666666666663</v>
      </c>
      <c r="D18" s="31">
        <v>16</v>
      </c>
      <c r="E18" s="31" t="s">
        <v>64</v>
      </c>
      <c r="F18" s="54" t="s">
        <v>65</v>
      </c>
      <c r="G18" s="54"/>
      <c r="H18" s="55"/>
    </row>
    <row r="19" spans="1:8" x14ac:dyDescent="0.25">
      <c r="A19" s="26" t="s">
        <v>78</v>
      </c>
      <c r="B19" s="27">
        <v>0.3125</v>
      </c>
      <c r="C19" s="27">
        <v>0.97916666666666663</v>
      </c>
      <c r="D19" s="31">
        <v>16</v>
      </c>
      <c r="E19" s="31" t="s">
        <v>64</v>
      </c>
      <c r="F19" s="56" t="s">
        <v>79</v>
      </c>
      <c r="G19" s="57"/>
      <c r="H19" s="58"/>
    </row>
    <row r="20" spans="1:8" ht="33" customHeight="1" x14ac:dyDescent="0.25">
      <c r="A20" s="8" t="s">
        <v>81</v>
      </c>
      <c r="B20" s="27">
        <v>0.25</v>
      </c>
      <c r="C20" s="27">
        <v>0.9375</v>
      </c>
      <c r="D20" s="31">
        <v>16.5</v>
      </c>
      <c r="E20" s="31" t="s">
        <v>76</v>
      </c>
      <c r="F20" s="54" t="s">
        <v>106</v>
      </c>
      <c r="G20" s="54"/>
      <c r="H20" s="55"/>
    </row>
    <row r="21" spans="1:8" x14ac:dyDescent="0.25">
      <c r="A21" s="26" t="s">
        <v>83</v>
      </c>
      <c r="B21" s="27">
        <v>0.29166666666666669</v>
      </c>
      <c r="C21" s="27">
        <v>0.95833333333333337</v>
      </c>
      <c r="D21" s="31">
        <v>16</v>
      </c>
      <c r="E21" s="31" t="s">
        <v>64</v>
      </c>
      <c r="F21" s="54" t="s">
        <v>84</v>
      </c>
      <c r="G21" s="54"/>
      <c r="H21" s="55"/>
    </row>
    <row r="22" spans="1:8" ht="30.75" customHeight="1" x14ac:dyDescent="0.25">
      <c r="A22" s="26" t="s">
        <v>93</v>
      </c>
      <c r="B22" s="27">
        <v>0.33333333333333331</v>
      </c>
      <c r="C22" s="27">
        <v>0.75</v>
      </c>
      <c r="D22" s="31">
        <v>10</v>
      </c>
      <c r="E22" s="31" t="s">
        <v>76</v>
      </c>
      <c r="F22" s="87" t="s">
        <v>107</v>
      </c>
      <c r="G22" s="88"/>
      <c r="H22" s="89"/>
    </row>
    <row r="23" spans="1:8" x14ac:dyDescent="0.25">
      <c r="A23" s="37"/>
      <c r="B23" s="27"/>
      <c r="C23" s="27"/>
      <c r="D23" s="31"/>
      <c r="E23" s="31"/>
      <c r="F23" s="56"/>
      <c r="G23" s="57"/>
      <c r="H23" s="59"/>
    </row>
    <row r="24" spans="1:8" x14ac:dyDescent="0.25">
      <c r="A24" s="26"/>
      <c r="B24" s="27"/>
      <c r="C24" s="27"/>
      <c r="D24" s="31"/>
      <c r="E24" s="31"/>
      <c r="F24" s="56"/>
      <c r="G24" s="57"/>
      <c r="H24" s="58"/>
    </row>
    <row r="25" spans="1:8" x14ac:dyDescent="0.25">
      <c r="A25" s="8"/>
      <c r="B25" s="31"/>
      <c r="C25" s="31"/>
      <c r="D25" s="31"/>
      <c r="E25" s="31"/>
      <c r="F25" s="44"/>
      <c r="G25" s="44"/>
      <c r="H25" s="45"/>
    </row>
    <row r="26" spans="1:8" x14ac:dyDescent="0.25">
      <c r="A26" s="5" t="s">
        <v>46</v>
      </c>
      <c r="B26" s="9">
        <f>SUM(D17:D25)</f>
        <v>90</v>
      </c>
      <c r="C26" s="15"/>
      <c r="D26" s="7"/>
      <c r="E26" s="16" t="s">
        <v>17</v>
      </c>
      <c r="F26" s="46">
        <f>D27*450</f>
        <v>5062.5</v>
      </c>
      <c r="G26" s="47"/>
      <c r="H26" s="4"/>
    </row>
    <row r="27" spans="1:8" x14ac:dyDescent="0.25">
      <c r="A27" s="14"/>
      <c r="B27" s="7"/>
      <c r="C27" s="17" t="s">
        <v>47</v>
      </c>
      <c r="D27" s="31">
        <f>B26/8</f>
        <v>11.25</v>
      </c>
      <c r="E27" s="7"/>
      <c r="F27" s="7"/>
      <c r="G27" s="7"/>
      <c r="H27" s="4"/>
    </row>
    <row r="28" spans="1:8" x14ac:dyDescent="0.25">
      <c r="A28" s="14"/>
      <c r="B28" s="7"/>
      <c r="C28" s="15"/>
      <c r="D28" s="7"/>
      <c r="E28" s="7"/>
      <c r="F28" s="7"/>
      <c r="G28" s="7"/>
      <c r="H28" s="4"/>
    </row>
    <row r="29" spans="1:8" x14ac:dyDescent="0.25">
      <c r="A29" s="14"/>
      <c r="B29" s="7"/>
      <c r="C29" s="15"/>
      <c r="D29" s="7"/>
      <c r="E29" s="7"/>
      <c r="F29" s="7"/>
      <c r="G29" s="7"/>
      <c r="H29" s="4"/>
    </row>
    <row r="30" spans="1:8" x14ac:dyDescent="0.25">
      <c r="A30" s="10" t="s">
        <v>18</v>
      </c>
      <c r="B30" s="31"/>
      <c r="C30" s="25"/>
      <c r="D30" s="34"/>
      <c r="E30" s="48" t="s">
        <v>20</v>
      </c>
      <c r="F30" s="48"/>
      <c r="G30" s="48"/>
      <c r="H30" s="49"/>
    </row>
    <row r="31" spans="1:8" x14ac:dyDescent="0.25">
      <c r="A31" s="14"/>
      <c r="B31" s="7"/>
      <c r="C31" s="7"/>
      <c r="D31" s="7"/>
      <c r="E31" s="7"/>
      <c r="F31" s="7"/>
      <c r="G31" s="7"/>
      <c r="H31" s="4"/>
    </row>
    <row r="32" spans="1:8" x14ac:dyDescent="0.25">
      <c r="A32" s="14"/>
      <c r="B32" s="7"/>
      <c r="C32" s="7"/>
      <c r="D32" s="7"/>
      <c r="E32" s="7"/>
      <c r="F32" s="7"/>
      <c r="G32" s="7"/>
      <c r="H32" s="4"/>
    </row>
    <row r="33" spans="1:8" x14ac:dyDescent="0.25">
      <c r="A33" s="14"/>
      <c r="B33" s="7"/>
      <c r="C33" s="7"/>
      <c r="D33" s="7"/>
      <c r="E33" s="7"/>
      <c r="F33" s="7"/>
      <c r="G33" s="7"/>
      <c r="H33" s="4"/>
    </row>
    <row r="34" spans="1:8" ht="15.75" thickBot="1" x14ac:dyDescent="0.3">
      <c r="A34" s="6" t="s">
        <v>18</v>
      </c>
      <c r="B34" s="21"/>
      <c r="C34" s="22"/>
      <c r="D34" s="23"/>
      <c r="E34" s="42" t="s">
        <v>19</v>
      </c>
      <c r="F34" s="42"/>
      <c r="G34" s="42"/>
      <c r="H34" s="43"/>
    </row>
  </sheetData>
  <mergeCells count="26">
    <mergeCell ref="E9:H9"/>
    <mergeCell ref="F1:H1"/>
    <mergeCell ref="B2:H3"/>
    <mergeCell ref="C5:E5"/>
    <mergeCell ref="E7:H7"/>
    <mergeCell ref="E8:F8"/>
    <mergeCell ref="E11:F11"/>
    <mergeCell ref="E12:F12"/>
    <mergeCell ref="F26:G26"/>
    <mergeCell ref="F25:H25"/>
    <mergeCell ref="E34:H34"/>
    <mergeCell ref="F17:H17"/>
    <mergeCell ref="E30:H30"/>
    <mergeCell ref="F18:H18"/>
    <mergeCell ref="F20:H20"/>
    <mergeCell ref="F19:H19"/>
    <mergeCell ref="F21:H21"/>
    <mergeCell ref="F22:H22"/>
    <mergeCell ref="F23:H23"/>
    <mergeCell ref="F24:H24"/>
    <mergeCell ref="A15:A16"/>
    <mergeCell ref="B15:B16"/>
    <mergeCell ref="C15:C16"/>
    <mergeCell ref="F15:H16"/>
    <mergeCell ref="D15:D16"/>
    <mergeCell ref="E15:E16"/>
  </mergeCells>
  <pageMargins left="0.7" right="0.7" top="0.75" bottom="0.75" header="0.3" footer="0.3"/>
  <pageSetup paperSize="9" scale="91" orientation="portrait" verticalDpi="598" r:id="rId1"/>
  <drawing r:id="rId2"/>
  <legacyDrawing r:id="rId3"/>
  <oleObjects>
    <mc:AlternateContent xmlns:mc="http://schemas.openxmlformats.org/markup-compatibility/2006">
      <mc:Choice Requires="x14">
        <oleObject progId="Word.Picture.8" shapeId="5121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133350</xdr:rowOff>
              </from>
              <to>
                <xdr:col>1</xdr:col>
                <xdr:colOff>0</xdr:colOff>
                <xdr:row>4</xdr:row>
                <xdr:rowOff>209550</xdr:rowOff>
              </to>
            </anchor>
          </objectPr>
        </oleObject>
      </mc:Choice>
      <mc:Fallback>
        <oleObject progId="Word.Picture.8" shapeId="5121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workbookViewId="0">
      <selection activeCell="L23" sqref="L23"/>
    </sheetView>
  </sheetViews>
  <sheetFormatPr defaultRowHeight="15" x14ac:dyDescent="0.25"/>
  <cols>
    <col min="1" max="1" width="16.42578125" customWidth="1"/>
    <col min="2" max="2" width="14" customWidth="1"/>
    <col min="3" max="3" width="13" customWidth="1"/>
    <col min="4" max="4" width="15.7109375" customWidth="1"/>
    <col min="5" max="5" width="15.140625" customWidth="1"/>
    <col min="8" max="8" width="46" customWidth="1"/>
  </cols>
  <sheetData>
    <row r="1" spans="1:8" x14ac:dyDescent="0.25">
      <c r="A1" s="11"/>
      <c r="B1" s="12"/>
      <c r="C1" s="13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15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15"/>
      <c r="D6" s="7"/>
      <c r="E6" s="7"/>
      <c r="F6" s="7"/>
      <c r="G6" s="7"/>
      <c r="H6" s="4"/>
    </row>
    <row r="7" spans="1:8" x14ac:dyDescent="0.25">
      <c r="A7" s="5" t="s">
        <v>2</v>
      </c>
      <c r="B7" s="31">
        <v>132598</v>
      </c>
      <c r="C7" s="15"/>
      <c r="D7" s="16" t="s">
        <v>3</v>
      </c>
      <c r="E7" s="56" t="s">
        <v>39</v>
      </c>
      <c r="F7" s="57"/>
      <c r="G7" s="57"/>
      <c r="H7" s="58"/>
    </row>
    <row r="8" spans="1:8" x14ac:dyDescent="0.25">
      <c r="A8" s="5" t="s">
        <v>4</v>
      </c>
      <c r="B8" s="31" t="s">
        <v>40</v>
      </c>
      <c r="C8" s="15"/>
      <c r="D8" s="16" t="s">
        <v>5</v>
      </c>
      <c r="E8" s="56" t="s">
        <v>6</v>
      </c>
      <c r="F8" s="59"/>
      <c r="G8" s="7"/>
      <c r="H8" s="4"/>
    </row>
    <row r="9" spans="1:8" x14ac:dyDescent="0.25">
      <c r="A9" s="5" t="s">
        <v>8</v>
      </c>
      <c r="B9" s="31" t="s">
        <v>9</v>
      </c>
      <c r="C9" s="15"/>
      <c r="D9" s="16" t="s">
        <v>7</v>
      </c>
      <c r="E9" s="56" t="s">
        <v>21</v>
      </c>
      <c r="F9" s="57"/>
      <c r="G9" s="57"/>
      <c r="H9" s="58"/>
    </row>
    <row r="10" spans="1:8" x14ac:dyDescent="0.25">
      <c r="A10" s="14"/>
      <c r="B10" s="7"/>
      <c r="C10" s="15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473</v>
      </c>
      <c r="C11" s="15"/>
      <c r="D11" s="16" t="s">
        <v>11</v>
      </c>
      <c r="E11" s="56">
        <v>37370</v>
      </c>
      <c r="F11" s="59"/>
      <c r="G11" s="16" t="s">
        <v>12</v>
      </c>
      <c r="H11" s="36">
        <v>18536</v>
      </c>
    </row>
    <row r="12" spans="1:8" x14ac:dyDescent="0.25">
      <c r="A12" s="5" t="s">
        <v>50</v>
      </c>
      <c r="B12" s="31">
        <v>450</v>
      </c>
      <c r="C12" s="15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15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15"/>
      <c r="D14" s="7"/>
      <c r="E14" s="7"/>
      <c r="F14" s="7"/>
      <c r="G14" s="7"/>
      <c r="H14" s="4"/>
    </row>
    <row r="15" spans="1:8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x14ac:dyDescent="0.25">
      <c r="A16" s="61"/>
      <c r="B16" s="61"/>
      <c r="C16" s="63"/>
      <c r="D16" s="69"/>
      <c r="E16" s="70"/>
      <c r="F16" s="67"/>
      <c r="G16" s="68"/>
      <c r="H16" s="69"/>
    </row>
    <row r="17" spans="1:8" ht="15" customHeight="1" x14ac:dyDescent="0.25">
      <c r="A17" s="37" t="s">
        <v>53</v>
      </c>
      <c r="B17" s="27">
        <v>0.35416666666666669</v>
      </c>
      <c r="C17" s="27">
        <v>0.72916666666666663</v>
      </c>
      <c r="D17" s="31">
        <v>9</v>
      </c>
      <c r="E17" s="31" t="s">
        <v>56</v>
      </c>
      <c r="F17" s="54" t="s">
        <v>54</v>
      </c>
      <c r="G17" s="54"/>
      <c r="H17" s="54"/>
    </row>
    <row r="18" spans="1:8" ht="18.75" customHeight="1" x14ac:dyDescent="0.25">
      <c r="A18" s="37" t="s">
        <v>60</v>
      </c>
      <c r="B18" s="27">
        <v>0.3125</v>
      </c>
      <c r="C18" s="27">
        <v>0.91666666666666663</v>
      </c>
      <c r="D18" s="31">
        <v>14.5</v>
      </c>
      <c r="E18" s="31" t="s">
        <v>59</v>
      </c>
      <c r="F18" s="54" t="s">
        <v>102</v>
      </c>
      <c r="G18" s="54"/>
      <c r="H18" s="54"/>
    </row>
    <row r="19" spans="1:8" ht="15.75" customHeight="1" x14ac:dyDescent="0.25">
      <c r="A19" s="37" t="s">
        <v>67</v>
      </c>
      <c r="B19" s="27">
        <v>0.35416666666666669</v>
      </c>
      <c r="C19" s="28">
        <v>0.6875</v>
      </c>
      <c r="D19" s="31">
        <v>8</v>
      </c>
      <c r="E19" s="31" t="s">
        <v>56</v>
      </c>
      <c r="F19" s="44" t="s">
        <v>54</v>
      </c>
      <c r="G19" s="44"/>
      <c r="H19" s="44"/>
    </row>
    <row r="20" spans="1:8" x14ac:dyDescent="0.25">
      <c r="A20" s="37" t="s">
        <v>72</v>
      </c>
      <c r="B20" s="27">
        <v>0.3125</v>
      </c>
      <c r="C20" s="27">
        <v>0.79166666666666663</v>
      </c>
      <c r="D20" s="31">
        <v>11.5</v>
      </c>
      <c r="E20" s="31" t="s">
        <v>56</v>
      </c>
      <c r="F20" s="54" t="s">
        <v>73</v>
      </c>
      <c r="G20" s="54"/>
      <c r="H20" s="54"/>
    </row>
    <row r="21" spans="1:8" ht="15.75" customHeight="1" x14ac:dyDescent="0.25">
      <c r="A21" s="37" t="s">
        <v>74</v>
      </c>
      <c r="B21" s="27">
        <v>0.33333333333333331</v>
      </c>
      <c r="C21" s="28">
        <v>0.77083333333333337</v>
      </c>
      <c r="D21" s="31">
        <v>10.5</v>
      </c>
      <c r="E21" s="31" t="s">
        <v>76</v>
      </c>
      <c r="F21" s="44" t="s">
        <v>77</v>
      </c>
      <c r="G21" s="44"/>
      <c r="H21" s="44"/>
    </row>
    <row r="22" spans="1:8" ht="27.75" customHeight="1" x14ac:dyDescent="0.25">
      <c r="A22" s="40" t="s">
        <v>80</v>
      </c>
      <c r="B22" s="27">
        <v>0.3125</v>
      </c>
      <c r="C22" s="27">
        <v>0.99930555555555556</v>
      </c>
      <c r="D22" s="31">
        <v>16.5</v>
      </c>
      <c r="E22" s="31" t="s">
        <v>64</v>
      </c>
      <c r="F22" s="54" t="s">
        <v>103</v>
      </c>
      <c r="G22" s="54"/>
      <c r="H22" s="54"/>
    </row>
    <row r="23" spans="1:8" ht="33.75" customHeight="1" x14ac:dyDescent="0.25">
      <c r="A23" s="37" t="s">
        <v>82</v>
      </c>
      <c r="B23" s="27">
        <v>0.25</v>
      </c>
      <c r="C23" s="27">
        <v>0.8125</v>
      </c>
      <c r="D23" s="31">
        <v>13.5</v>
      </c>
      <c r="E23" s="31" t="s">
        <v>59</v>
      </c>
      <c r="F23" s="54" t="s">
        <v>108</v>
      </c>
      <c r="G23" s="54"/>
      <c r="H23" s="54"/>
    </row>
    <row r="24" spans="1:8" x14ac:dyDescent="0.25">
      <c r="A24" s="37" t="s">
        <v>83</v>
      </c>
      <c r="B24" s="27">
        <v>0.29166666666666669</v>
      </c>
      <c r="C24" s="27">
        <v>0.9375</v>
      </c>
      <c r="D24" s="31">
        <v>15.5</v>
      </c>
      <c r="E24" s="31" t="s">
        <v>64</v>
      </c>
      <c r="F24" s="44" t="s">
        <v>85</v>
      </c>
      <c r="G24" s="44"/>
      <c r="H24" s="44"/>
    </row>
    <row r="25" spans="1:8" x14ac:dyDescent="0.25">
      <c r="A25" s="37" t="s">
        <v>89</v>
      </c>
      <c r="B25" s="27">
        <v>0.35416666666666669</v>
      </c>
      <c r="C25" s="27">
        <v>0.6875</v>
      </c>
      <c r="D25" s="31">
        <v>8</v>
      </c>
      <c r="E25" s="31" t="s">
        <v>56</v>
      </c>
      <c r="F25" s="44" t="s">
        <v>90</v>
      </c>
      <c r="G25" s="44"/>
      <c r="H25" s="44"/>
    </row>
    <row r="26" spans="1:8" x14ac:dyDescent="0.25">
      <c r="A26" s="37" t="s">
        <v>91</v>
      </c>
      <c r="B26" s="27">
        <v>0.3125</v>
      </c>
      <c r="C26" s="27">
        <v>0.89583333333333337</v>
      </c>
      <c r="D26" s="27">
        <v>0.58333333333333337</v>
      </c>
      <c r="E26" s="31" t="s">
        <v>59</v>
      </c>
      <c r="F26" s="44" t="s">
        <v>92</v>
      </c>
      <c r="G26" s="44"/>
      <c r="H26" s="44"/>
    </row>
    <row r="27" spans="1:8" x14ac:dyDescent="0.25">
      <c r="A27" s="37" t="s">
        <v>98</v>
      </c>
      <c r="B27" s="27">
        <v>0.33333333333333331</v>
      </c>
      <c r="C27" s="27">
        <v>0.79166666666666663</v>
      </c>
      <c r="D27" s="31">
        <v>11</v>
      </c>
      <c r="E27" s="31" t="s">
        <v>76</v>
      </c>
      <c r="F27" s="54" t="s">
        <v>99</v>
      </c>
      <c r="G27" s="54"/>
      <c r="H27" s="54"/>
    </row>
    <row r="28" spans="1:8" x14ac:dyDescent="0.25">
      <c r="A28" s="37"/>
      <c r="B28" s="27"/>
      <c r="C28" s="27"/>
      <c r="D28" s="31"/>
      <c r="E28" s="31"/>
      <c r="F28" s="54"/>
      <c r="G28" s="54"/>
      <c r="H28" s="54"/>
    </row>
    <row r="29" spans="1:8" x14ac:dyDescent="0.25">
      <c r="A29" s="37"/>
      <c r="B29" s="27"/>
      <c r="C29" s="27"/>
      <c r="D29" s="31"/>
      <c r="E29" s="31"/>
      <c r="F29" s="44"/>
      <c r="G29" s="44"/>
      <c r="H29" s="44"/>
    </row>
    <row r="30" spans="1:8" x14ac:dyDescent="0.25">
      <c r="A30" s="5" t="s">
        <v>46</v>
      </c>
      <c r="B30" s="9">
        <f>SUM(D17:D29)</f>
        <v>118.58333333333333</v>
      </c>
      <c r="C30" s="15"/>
      <c r="D30" s="7"/>
      <c r="E30" s="16" t="s">
        <v>17</v>
      </c>
      <c r="F30" s="46">
        <f>D31*450</f>
        <v>6670.3125</v>
      </c>
      <c r="G30" s="47"/>
      <c r="H30" s="4"/>
    </row>
    <row r="31" spans="1:8" x14ac:dyDescent="0.25">
      <c r="A31" s="14"/>
      <c r="B31" s="7"/>
      <c r="C31" s="17" t="s">
        <v>47</v>
      </c>
      <c r="D31" s="31">
        <f>B30/8</f>
        <v>14.822916666666666</v>
      </c>
      <c r="E31" s="7"/>
      <c r="F31" s="7"/>
      <c r="G31" s="7"/>
      <c r="H31" s="4"/>
    </row>
    <row r="32" spans="1:8" x14ac:dyDescent="0.25">
      <c r="A32" s="14"/>
      <c r="B32" s="7"/>
      <c r="C32" s="15"/>
      <c r="D32" s="7"/>
      <c r="E32" s="7"/>
      <c r="F32" s="7"/>
      <c r="G32" s="7"/>
      <c r="H32" s="4"/>
    </row>
    <row r="33" spans="1:8" ht="14.45" customHeight="1" x14ac:dyDescent="0.25">
      <c r="A33" s="14"/>
      <c r="B33" s="7"/>
      <c r="C33" s="15"/>
      <c r="D33" s="7"/>
      <c r="E33" s="7"/>
      <c r="F33" s="7"/>
      <c r="G33" s="7"/>
      <c r="H33" s="4"/>
    </row>
    <row r="34" spans="1:8" ht="14.45" customHeight="1" x14ac:dyDescent="0.25">
      <c r="A34" s="5" t="s">
        <v>18</v>
      </c>
      <c r="B34" s="18"/>
      <c r="C34" s="15"/>
      <c r="D34" s="7"/>
      <c r="E34" s="48" t="s">
        <v>20</v>
      </c>
      <c r="F34" s="48"/>
      <c r="G34" s="48"/>
      <c r="H34" s="49"/>
    </row>
    <row r="35" spans="1:8" ht="14.45" customHeight="1" x14ac:dyDescent="0.25">
      <c r="A35" s="50"/>
      <c r="B35" s="51"/>
      <c r="C35" s="51"/>
      <c r="D35" s="51"/>
      <c r="E35" s="51"/>
      <c r="F35" s="51"/>
      <c r="G35" s="51"/>
      <c r="H35" s="19"/>
    </row>
    <row r="36" spans="1:8" x14ac:dyDescent="0.25">
      <c r="A36" s="52"/>
      <c r="B36" s="53"/>
      <c r="C36" s="53"/>
      <c r="D36" s="53"/>
      <c r="E36" s="53"/>
      <c r="F36" s="53"/>
      <c r="G36" s="53"/>
      <c r="H36" s="20"/>
    </row>
    <row r="37" spans="1:8" x14ac:dyDescent="0.25">
      <c r="A37" s="14"/>
      <c r="B37" s="7"/>
      <c r="C37" s="15"/>
      <c r="D37" s="7"/>
      <c r="E37" s="7"/>
      <c r="F37" s="7"/>
      <c r="G37" s="7"/>
      <c r="H37" s="4"/>
    </row>
    <row r="38" spans="1:8" ht="15.75" thickBot="1" x14ac:dyDescent="0.3">
      <c r="A38" s="6" t="s">
        <v>18</v>
      </c>
      <c r="B38" s="21"/>
      <c r="C38" s="22"/>
      <c r="D38" s="23"/>
      <c r="E38" s="42" t="s">
        <v>19</v>
      </c>
      <c r="F38" s="42"/>
      <c r="G38" s="42"/>
      <c r="H38" s="43"/>
    </row>
  </sheetData>
  <mergeCells count="32">
    <mergeCell ref="F18:H18"/>
    <mergeCell ref="F19:H19"/>
    <mergeCell ref="F21:H21"/>
    <mergeCell ref="E9:H9"/>
    <mergeCell ref="F1:H1"/>
    <mergeCell ref="B2:H3"/>
    <mergeCell ref="C5:E5"/>
    <mergeCell ref="E7:H7"/>
    <mergeCell ref="E8:F8"/>
    <mergeCell ref="E11:F11"/>
    <mergeCell ref="E12:F12"/>
    <mergeCell ref="F15:H16"/>
    <mergeCell ref="F20:H20"/>
    <mergeCell ref="F17:H17"/>
    <mergeCell ref="A15:A16"/>
    <mergeCell ref="B15:B16"/>
    <mergeCell ref="C15:C16"/>
    <mergeCell ref="D15:D16"/>
    <mergeCell ref="E15:E16"/>
    <mergeCell ref="A35:G35"/>
    <mergeCell ref="A36:G36"/>
    <mergeCell ref="E38:H38"/>
    <mergeCell ref="F22:H22"/>
    <mergeCell ref="F23:H23"/>
    <mergeCell ref="F24:H24"/>
    <mergeCell ref="F30:G30"/>
    <mergeCell ref="E34:H34"/>
    <mergeCell ref="F25:H25"/>
    <mergeCell ref="F26:H26"/>
    <mergeCell ref="F27:H27"/>
    <mergeCell ref="F29:H29"/>
    <mergeCell ref="F28:H28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Picture.8" shapeId="10242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133350</xdr:rowOff>
              </from>
              <to>
                <xdr:col>1</xdr:col>
                <xdr:colOff>0</xdr:colOff>
                <xdr:row>4</xdr:row>
                <xdr:rowOff>104775</xdr:rowOff>
              </to>
            </anchor>
          </objectPr>
        </oleObject>
      </mc:Choice>
      <mc:Fallback>
        <oleObject progId="Word.Picture.8" shapeId="10242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>
      <selection activeCell="M29" sqref="M29"/>
    </sheetView>
  </sheetViews>
  <sheetFormatPr defaultRowHeight="15" x14ac:dyDescent="0.25"/>
  <cols>
    <col min="1" max="1" width="16.42578125" customWidth="1"/>
    <col min="2" max="3" width="12" customWidth="1"/>
    <col min="4" max="4" width="15.5703125" customWidth="1"/>
    <col min="5" max="5" width="15.85546875" customWidth="1"/>
    <col min="8" max="8" width="54.28515625" customWidth="1"/>
    <col min="9" max="9" width="10.85546875" customWidth="1"/>
  </cols>
  <sheetData>
    <row r="1" spans="1:8" x14ac:dyDescent="0.25">
      <c r="A1" s="11"/>
      <c r="B1" s="12"/>
      <c r="C1" s="13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15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15"/>
      <c r="D6" s="7"/>
      <c r="E6" s="7"/>
      <c r="F6" s="7"/>
      <c r="G6" s="7"/>
      <c r="H6" s="4"/>
    </row>
    <row r="7" spans="1:8" x14ac:dyDescent="0.25">
      <c r="A7" s="5" t="s">
        <v>2</v>
      </c>
      <c r="B7" s="31">
        <v>137508</v>
      </c>
      <c r="C7" s="15"/>
      <c r="D7" s="16" t="s">
        <v>3</v>
      </c>
      <c r="E7" s="56" t="s">
        <v>27</v>
      </c>
      <c r="F7" s="57"/>
      <c r="G7" s="57"/>
      <c r="H7" s="58"/>
    </row>
    <row r="8" spans="1:8" x14ac:dyDescent="0.25">
      <c r="A8" s="5" t="s">
        <v>4</v>
      </c>
      <c r="B8" s="31" t="s">
        <v>28</v>
      </c>
      <c r="C8" s="15"/>
      <c r="D8" s="16" t="s">
        <v>5</v>
      </c>
      <c r="E8" s="56" t="s">
        <v>6</v>
      </c>
      <c r="F8" s="59"/>
      <c r="G8" s="7"/>
      <c r="H8" s="4"/>
    </row>
    <row r="9" spans="1:8" x14ac:dyDescent="0.25">
      <c r="A9" s="5" t="s">
        <v>8</v>
      </c>
      <c r="B9" s="31" t="s">
        <v>9</v>
      </c>
      <c r="C9" s="15"/>
      <c r="D9" s="16" t="s">
        <v>7</v>
      </c>
      <c r="E9" s="56" t="s">
        <v>21</v>
      </c>
      <c r="F9" s="57"/>
      <c r="G9" s="57"/>
      <c r="H9" s="58"/>
    </row>
    <row r="10" spans="1:8" x14ac:dyDescent="0.25">
      <c r="A10" s="14"/>
      <c r="B10" s="7"/>
      <c r="C10" s="15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473</v>
      </c>
      <c r="C11" s="15"/>
      <c r="D11" s="16" t="s">
        <v>11</v>
      </c>
      <c r="E11" s="56">
        <v>29560</v>
      </c>
      <c r="F11" s="59"/>
      <c r="G11" s="16" t="s">
        <v>12</v>
      </c>
      <c r="H11" s="36">
        <v>14662</v>
      </c>
    </row>
    <row r="12" spans="1:8" x14ac:dyDescent="0.25">
      <c r="A12" s="5" t="s">
        <v>49</v>
      </c>
      <c r="B12" s="31">
        <v>450</v>
      </c>
      <c r="C12" s="15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15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15"/>
      <c r="D14" s="7"/>
      <c r="E14" s="7"/>
      <c r="F14" s="7"/>
      <c r="G14" s="7"/>
      <c r="H14" s="4"/>
    </row>
    <row r="15" spans="1:8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x14ac:dyDescent="0.25">
      <c r="A16" s="61"/>
      <c r="B16" s="61"/>
      <c r="C16" s="63"/>
      <c r="D16" s="69"/>
      <c r="E16" s="70"/>
      <c r="F16" s="67"/>
      <c r="G16" s="68"/>
      <c r="H16" s="69"/>
    </row>
    <row r="17" spans="1:8" ht="15" customHeight="1" x14ac:dyDescent="0.25">
      <c r="A17" s="26" t="s">
        <v>55</v>
      </c>
      <c r="B17" s="27">
        <v>0.35416666666666669</v>
      </c>
      <c r="C17" s="27">
        <v>0.72916666666666663</v>
      </c>
      <c r="D17" s="31">
        <v>9</v>
      </c>
      <c r="E17" s="31" t="s">
        <v>56</v>
      </c>
      <c r="F17" s="54" t="s">
        <v>57</v>
      </c>
      <c r="G17" s="54"/>
      <c r="H17" s="55"/>
    </row>
    <row r="18" spans="1:8" ht="15" customHeight="1" x14ac:dyDescent="0.25">
      <c r="A18" s="26" t="s">
        <v>60</v>
      </c>
      <c r="B18" s="27">
        <v>0.39583333333333331</v>
      </c>
      <c r="C18" s="27">
        <v>0.6875</v>
      </c>
      <c r="D18" s="31">
        <v>7</v>
      </c>
      <c r="E18" s="31" t="s">
        <v>61</v>
      </c>
      <c r="F18" s="54" t="s">
        <v>62</v>
      </c>
      <c r="G18" s="54"/>
      <c r="H18" s="55"/>
    </row>
    <row r="19" spans="1:8" x14ac:dyDescent="0.25">
      <c r="A19" s="26" t="s">
        <v>63</v>
      </c>
      <c r="B19" s="27">
        <v>0.33333333333333331</v>
      </c>
      <c r="C19" s="27">
        <v>0.91666666666666663</v>
      </c>
      <c r="D19" s="31">
        <v>16</v>
      </c>
      <c r="E19" s="31" t="s">
        <v>64</v>
      </c>
      <c r="F19" s="54" t="s">
        <v>65</v>
      </c>
      <c r="G19" s="54"/>
      <c r="H19" s="55"/>
    </row>
    <row r="20" spans="1:8" x14ac:dyDescent="0.25">
      <c r="A20" s="26" t="s">
        <v>69</v>
      </c>
      <c r="B20" s="27">
        <v>0.35416666666666669</v>
      </c>
      <c r="C20" s="27">
        <v>0.77083333333333337</v>
      </c>
      <c r="D20" s="31">
        <v>10</v>
      </c>
      <c r="E20" s="31" t="s">
        <v>70</v>
      </c>
      <c r="F20" s="54" t="s">
        <v>71</v>
      </c>
      <c r="G20" s="54"/>
      <c r="H20" s="55"/>
    </row>
    <row r="21" spans="1:8" x14ac:dyDescent="0.25">
      <c r="A21" s="26" t="s">
        <v>72</v>
      </c>
      <c r="B21" s="27">
        <v>0.3125</v>
      </c>
      <c r="C21" s="27">
        <v>0.79166666666666663</v>
      </c>
      <c r="D21" s="31">
        <v>11.5</v>
      </c>
      <c r="E21" s="31" t="s">
        <v>56</v>
      </c>
      <c r="F21" s="54" t="s">
        <v>73</v>
      </c>
      <c r="G21" s="54"/>
      <c r="H21" s="55"/>
    </row>
    <row r="22" spans="1:8" ht="15.75" customHeight="1" x14ac:dyDescent="0.25">
      <c r="A22" s="26" t="s">
        <v>74</v>
      </c>
      <c r="B22" s="27">
        <v>0.33333333333333331</v>
      </c>
      <c r="C22" s="28">
        <v>0.77083333333333337</v>
      </c>
      <c r="D22" s="31">
        <v>10.5</v>
      </c>
      <c r="E22" s="31" t="s">
        <v>76</v>
      </c>
      <c r="F22" s="44" t="s">
        <v>77</v>
      </c>
      <c r="G22" s="44"/>
      <c r="H22" s="45"/>
    </row>
    <row r="23" spans="1:8" ht="30.75" customHeight="1" x14ac:dyDescent="0.25">
      <c r="A23" s="8" t="s">
        <v>81</v>
      </c>
      <c r="B23" s="27">
        <v>0.25</v>
      </c>
      <c r="C23" s="27">
        <v>0.9375</v>
      </c>
      <c r="D23" s="31">
        <v>16.5</v>
      </c>
      <c r="E23" s="31" t="s">
        <v>76</v>
      </c>
      <c r="F23" s="54" t="s">
        <v>106</v>
      </c>
      <c r="G23" s="54"/>
      <c r="H23" s="55"/>
    </row>
    <row r="24" spans="1:8" x14ac:dyDescent="0.25">
      <c r="A24" s="26" t="s">
        <v>83</v>
      </c>
      <c r="B24" s="27">
        <v>0.29166666666666669</v>
      </c>
      <c r="C24" s="27">
        <v>0.95833333333333337</v>
      </c>
      <c r="D24" s="31">
        <v>16</v>
      </c>
      <c r="E24" s="31" t="s">
        <v>64</v>
      </c>
      <c r="F24" s="54" t="s">
        <v>84</v>
      </c>
      <c r="G24" s="54"/>
      <c r="H24" s="55"/>
    </row>
    <row r="25" spans="1:8" x14ac:dyDescent="0.25">
      <c r="A25" s="26" t="s">
        <v>87</v>
      </c>
      <c r="B25" s="27">
        <v>0.35416666666666669</v>
      </c>
      <c r="C25" s="27">
        <v>0.79166666666666663</v>
      </c>
      <c r="D25" s="31">
        <v>10.5</v>
      </c>
      <c r="E25" s="31" t="s">
        <v>56</v>
      </c>
      <c r="F25" s="56" t="s">
        <v>88</v>
      </c>
      <c r="G25" s="57"/>
      <c r="H25" s="58"/>
    </row>
    <row r="26" spans="1:8" x14ac:dyDescent="0.25">
      <c r="A26" s="41" t="s">
        <v>95</v>
      </c>
      <c r="B26" s="27">
        <v>0.33333333333333331</v>
      </c>
      <c r="C26" s="27">
        <v>0.75</v>
      </c>
      <c r="D26" s="31">
        <v>10</v>
      </c>
      <c r="E26" s="31" t="s">
        <v>76</v>
      </c>
      <c r="F26" s="54" t="s">
        <v>96</v>
      </c>
      <c r="G26" s="54"/>
      <c r="H26" s="55"/>
    </row>
    <row r="27" spans="1:8" x14ac:dyDescent="0.25">
      <c r="A27" s="26" t="s">
        <v>100</v>
      </c>
      <c r="B27" s="27">
        <v>0.3125</v>
      </c>
      <c r="C27" s="27">
        <v>0.83333333333333337</v>
      </c>
      <c r="D27" s="31">
        <v>12.5</v>
      </c>
      <c r="E27" s="31" t="s">
        <v>59</v>
      </c>
      <c r="F27" s="56" t="s">
        <v>101</v>
      </c>
      <c r="G27" s="57"/>
      <c r="H27" s="58"/>
    </row>
    <row r="28" spans="1:8" x14ac:dyDescent="0.25">
      <c r="A28" s="26"/>
      <c r="B28" s="27"/>
      <c r="C28" s="27"/>
      <c r="D28" s="31"/>
      <c r="E28" s="31"/>
      <c r="F28" s="56"/>
      <c r="G28" s="57"/>
      <c r="H28" s="58"/>
    </row>
    <row r="29" spans="1:8" ht="15.75" customHeight="1" x14ac:dyDescent="0.25">
      <c r="A29" s="26"/>
      <c r="B29" s="27"/>
      <c r="C29" s="27"/>
      <c r="D29" s="31"/>
      <c r="E29" s="31"/>
      <c r="F29" s="56"/>
      <c r="G29" s="57"/>
      <c r="H29" s="58"/>
    </row>
    <row r="30" spans="1:8" ht="18.75" customHeight="1" x14ac:dyDescent="0.25">
      <c r="A30" s="5" t="s">
        <v>46</v>
      </c>
      <c r="B30" s="9">
        <f>SUM(D17:D29)</f>
        <v>129.5</v>
      </c>
      <c r="C30" s="15"/>
      <c r="D30" s="7"/>
      <c r="E30" s="16" t="s">
        <v>17</v>
      </c>
      <c r="F30" s="46">
        <f>D31*450</f>
        <v>7284.375</v>
      </c>
      <c r="G30" s="47"/>
      <c r="H30" s="4"/>
    </row>
    <row r="31" spans="1:8" x14ac:dyDescent="0.25">
      <c r="A31" s="14"/>
      <c r="B31" s="7"/>
      <c r="C31" s="17" t="s">
        <v>47</v>
      </c>
      <c r="D31" s="31">
        <f>B30/8</f>
        <v>16.1875</v>
      </c>
      <c r="E31" s="7"/>
      <c r="F31" s="7"/>
      <c r="G31" s="7"/>
      <c r="H31" s="4"/>
    </row>
    <row r="32" spans="1:8" x14ac:dyDescent="0.25">
      <c r="A32" s="14"/>
      <c r="B32" s="7"/>
      <c r="C32" s="15"/>
      <c r="D32" s="7"/>
      <c r="E32" s="7"/>
      <c r="F32" s="7"/>
      <c r="G32" s="7"/>
      <c r="H32" s="4"/>
    </row>
    <row r="33" spans="1:8" x14ac:dyDescent="0.25">
      <c r="A33" s="14"/>
      <c r="B33" s="7"/>
      <c r="C33" s="15"/>
      <c r="D33" s="7"/>
      <c r="E33" s="7"/>
      <c r="F33" s="7"/>
      <c r="G33" s="7"/>
      <c r="H33" s="4"/>
    </row>
    <row r="34" spans="1:8" x14ac:dyDescent="0.25">
      <c r="A34" s="5" t="s">
        <v>18</v>
      </c>
      <c r="B34" s="18"/>
      <c r="C34" s="15"/>
      <c r="D34" s="7"/>
      <c r="E34" s="48" t="s">
        <v>20</v>
      </c>
      <c r="F34" s="48"/>
      <c r="G34" s="48"/>
      <c r="H34" s="49"/>
    </row>
    <row r="35" spans="1:8" x14ac:dyDescent="0.25">
      <c r="A35" s="50"/>
      <c r="B35" s="51"/>
      <c r="C35" s="51"/>
      <c r="D35" s="51"/>
      <c r="E35" s="51"/>
      <c r="F35" s="51"/>
      <c r="G35" s="51"/>
      <c r="H35" s="19"/>
    </row>
    <row r="36" spans="1:8" x14ac:dyDescent="0.25">
      <c r="A36" s="32"/>
      <c r="B36" s="33"/>
      <c r="C36" s="24"/>
      <c r="D36" s="33"/>
      <c r="E36" s="33"/>
      <c r="F36" s="33"/>
      <c r="G36" s="33"/>
      <c r="H36" s="20"/>
    </row>
    <row r="37" spans="1:8" x14ac:dyDescent="0.25">
      <c r="A37" s="14"/>
      <c r="B37" s="7"/>
      <c r="C37" s="15"/>
      <c r="D37" s="7"/>
      <c r="E37" s="7"/>
      <c r="F37" s="7"/>
      <c r="G37" s="7"/>
      <c r="H37" s="4"/>
    </row>
    <row r="38" spans="1:8" ht="15.75" thickBot="1" x14ac:dyDescent="0.3">
      <c r="A38" s="6" t="s">
        <v>18</v>
      </c>
      <c r="B38" s="21"/>
      <c r="C38" s="22"/>
      <c r="D38" s="23"/>
      <c r="E38" s="42" t="s">
        <v>19</v>
      </c>
      <c r="F38" s="42"/>
      <c r="G38" s="42"/>
      <c r="H38" s="43"/>
    </row>
  </sheetData>
  <mergeCells count="31">
    <mergeCell ref="E9:H9"/>
    <mergeCell ref="E11:F11"/>
    <mergeCell ref="E12:F12"/>
    <mergeCell ref="F15:H16"/>
    <mergeCell ref="F21:H21"/>
    <mergeCell ref="F17:H17"/>
    <mergeCell ref="F18:H18"/>
    <mergeCell ref="F19:H19"/>
    <mergeCell ref="F1:H1"/>
    <mergeCell ref="B2:H3"/>
    <mergeCell ref="C5:E5"/>
    <mergeCell ref="E7:H7"/>
    <mergeCell ref="E8:F8"/>
    <mergeCell ref="A15:A16"/>
    <mergeCell ref="B15:B16"/>
    <mergeCell ref="C15:C16"/>
    <mergeCell ref="D15:D16"/>
    <mergeCell ref="E15:E16"/>
    <mergeCell ref="F30:G30"/>
    <mergeCell ref="E34:H34"/>
    <mergeCell ref="A35:G35"/>
    <mergeCell ref="E38:H38"/>
    <mergeCell ref="F20:H20"/>
    <mergeCell ref="F23:H23"/>
    <mergeCell ref="F25:H25"/>
    <mergeCell ref="F22:H22"/>
    <mergeCell ref="F29:H29"/>
    <mergeCell ref="F24:H24"/>
    <mergeCell ref="F26:H26"/>
    <mergeCell ref="F28:H28"/>
    <mergeCell ref="F27:H27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d.Picture.8" shapeId="12289" r:id="rId3">
          <objectPr defaultSize="0" autoPict="0" r:id="rId4">
            <anchor moveWithCells="1" sizeWithCells="1">
              <from>
                <xdr:col>0</xdr:col>
                <xdr:colOff>76200</xdr:colOff>
                <xdr:row>0</xdr:row>
                <xdr:rowOff>133350</xdr:rowOff>
              </from>
              <to>
                <xdr:col>1</xdr:col>
                <xdr:colOff>0</xdr:colOff>
                <xdr:row>4</xdr:row>
                <xdr:rowOff>104775</xdr:rowOff>
              </to>
            </anchor>
          </objectPr>
        </oleObject>
      </mc:Choice>
      <mc:Fallback>
        <oleObject progId="Word.Picture.8" shapeId="12289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workbookViewId="0">
      <selection activeCell="F23" sqref="F23:H23"/>
    </sheetView>
  </sheetViews>
  <sheetFormatPr defaultRowHeight="15" x14ac:dyDescent="0.25"/>
  <cols>
    <col min="1" max="1" width="14.140625" customWidth="1"/>
    <col min="2" max="2" width="13.28515625" customWidth="1"/>
    <col min="3" max="3" width="13.7109375" customWidth="1"/>
    <col min="4" max="4" width="17.28515625" customWidth="1"/>
    <col min="5" max="5" width="16" customWidth="1"/>
    <col min="8" max="8" width="44.5703125" customWidth="1"/>
    <col min="9" max="9" width="11.5703125" customWidth="1"/>
  </cols>
  <sheetData>
    <row r="1" spans="1:8" x14ac:dyDescent="0.25">
      <c r="A1" s="11"/>
      <c r="B1" s="12"/>
      <c r="C1" s="13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15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15"/>
      <c r="D6" s="7"/>
      <c r="E6" s="7"/>
      <c r="F6" s="7"/>
      <c r="G6" s="7"/>
      <c r="H6" s="4"/>
    </row>
    <row r="7" spans="1:8" x14ac:dyDescent="0.25">
      <c r="A7" s="5" t="s">
        <v>2</v>
      </c>
      <c r="B7" s="31">
        <v>137500</v>
      </c>
      <c r="C7" s="15"/>
      <c r="D7" s="16" t="s">
        <v>3</v>
      </c>
      <c r="E7" s="56" t="s">
        <v>29</v>
      </c>
      <c r="F7" s="57"/>
      <c r="G7" s="57"/>
      <c r="H7" s="58"/>
    </row>
    <row r="8" spans="1:8" x14ac:dyDescent="0.25">
      <c r="A8" s="5" t="s">
        <v>4</v>
      </c>
      <c r="B8" s="31" t="s">
        <v>28</v>
      </c>
      <c r="C8" s="15"/>
      <c r="D8" s="16" t="s">
        <v>5</v>
      </c>
      <c r="E8" s="56" t="s">
        <v>6</v>
      </c>
      <c r="F8" s="59"/>
      <c r="G8" s="7"/>
      <c r="H8" s="4"/>
    </row>
    <row r="9" spans="1:8" x14ac:dyDescent="0.25">
      <c r="A9" s="5" t="s">
        <v>8</v>
      </c>
      <c r="B9" s="31" t="s">
        <v>9</v>
      </c>
      <c r="C9" s="15"/>
      <c r="D9" s="16" t="s">
        <v>7</v>
      </c>
      <c r="E9" s="56" t="s">
        <v>21</v>
      </c>
      <c r="F9" s="57"/>
      <c r="G9" s="57"/>
      <c r="H9" s="58"/>
    </row>
    <row r="10" spans="1:8" x14ac:dyDescent="0.25">
      <c r="A10" s="14"/>
      <c r="B10" s="7"/>
      <c r="C10" s="15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473</v>
      </c>
      <c r="C11" s="15"/>
      <c r="D11" s="16" t="s">
        <v>11</v>
      </c>
      <c r="E11" s="56">
        <v>29560</v>
      </c>
      <c r="F11" s="59"/>
      <c r="G11" s="16" t="s">
        <v>12</v>
      </c>
      <c r="H11" s="36">
        <v>14662</v>
      </c>
    </row>
    <row r="12" spans="1:8" x14ac:dyDescent="0.25">
      <c r="A12" s="5" t="s">
        <v>49</v>
      </c>
      <c r="B12" s="31">
        <v>450</v>
      </c>
      <c r="C12" s="15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15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15"/>
      <c r="D14" s="7"/>
      <c r="E14" s="7"/>
      <c r="F14" s="7"/>
      <c r="G14" s="7"/>
      <c r="H14" s="4"/>
    </row>
    <row r="15" spans="1:8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x14ac:dyDescent="0.25">
      <c r="A16" s="61"/>
      <c r="B16" s="61"/>
      <c r="C16" s="63"/>
      <c r="D16" s="69"/>
      <c r="E16" s="70"/>
      <c r="F16" s="67"/>
      <c r="G16" s="68"/>
      <c r="H16" s="69"/>
    </row>
    <row r="17" spans="1:8" ht="15" customHeight="1" x14ac:dyDescent="0.25">
      <c r="A17" s="37" t="s">
        <v>53</v>
      </c>
      <c r="B17" s="27">
        <v>0.35416666666666669</v>
      </c>
      <c r="C17" s="27">
        <v>0.72916666666666663</v>
      </c>
      <c r="D17" s="31">
        <v>9</v>
      </c>
      <c r="E17" s="31" t="s">
        <v>56</v>
      </c>
      <c r="F17" s="54" t="s">
        <v>54</v>
      </c>
      <c r="G17" s="54"/>
      <c r="H17" s="54"/>
    </row>
    <row r="18" spans="1:8" ht="15" customHeight="1" x14ac:dyDescent="0.25">
      <c r="A18" s="37" t="s">
        <v>60</v>
      </c>
      <c r="B18" s="27">
        <v>0.3125</v>
      </c>
      <c r="C18" s="27">
        <v>0.91666666666666663</v>
      </c>
      <c r="D18" s="31">
        <v>14.5</v>
      </c>
      <c r="E18" s="31" t="s">
        <v>59</v>
      </c>
      <c r="F18" s="54" t="s">
        <v>102</v>
      </c>
      <c r="G18" s="54"/>
      <c r="H18" s="54"/>
    </row>
    <row r="19" spans="1:8" ht="31.5" customHeight="1" x14ac:dyDescent="0.25">
      <c r="A19" s="37" t="s">
        <v>63</v>
      </c>
      <c r="B19" s="27">
        <v>0.35416666666666669</v>
      </c>
      <c r="C19" s="28">
        <v>0.6875</v>
      </c>
      <c r="D19" s="31">
        <v>8</v>
      </c>
      <c r="E19" s="31" t="s">
        <v>56</v>
      </c>
      <c r="F19" s="54" t="s">
        <v>109</v>
      </c>
      <c r="G19" s="44"/>
      <c r="H19" s="44"/>
    </row>
    <row r="20" spans="1:8" ht="15.75" customHeight="1" x14ac:dyDescent="0.25">
      <c r="A20" s="37" t="s">
        <v>67</v>
      </c>
      <c r="B20" s="27">
        <v>0.35416666666666669</v>
      </c>
      <c r="C20" s="28">
        <v>0.6875</v>
      </c>
      <c r="D20" s="31">
        <v>8</v>
      </c>
      <c r="E20" s="31" t="s">
        <v>56</v>
      </c>
      <c r="F20" s="44" t="s">
        <v>54</v>
      </c>
      <c r="G20" s="44"/>
      <c r="H20" s="44"/>
    </row>
    <row r="21" spans="1:8" ht="39" customHeight="1" x14ac:dyDescent="0.25">
      <c r="A21" s="40" t="s">
        <v>80</v>
      </c>
      <c r="B21" s="27">
        <v>0.3125</v>
      </c>
      <c r="C21" s="27">
        <v>0.99930555555555556</v>
      </c>
      <c r="D21" s="31">
        <v>16.5</v>
      </c>
      <c r="E21" s="31" t="s">
        <v>64</v>
      </c>
      <c r="F21" s="54" t="s">
        <v>103</v>
      </c>
      <c r="G21" s="54"/>
      <c r="H21" s="54"/>
    </row>
    <row r="22" spans="1:8" x14ac:dyDescent="0.25">
      <c r="A22" s="37" t="s">
        <v>83</v>
      </c>
      <c r="B22" s="27">
        <v>0.29166666666666669</v>
      </c>
      <c r="C22" s="27">
        <v>0.9375</v>
      </c>
      <c r="D22" s="31">
        <v>15.5</v>
      </c>
      <c r="E22" s="31" t="s">
        <v>64</v>
      </c>
      <c r="F22" s="44" t="s">
        <v>85</v>
      </c>
      <c r="G22" s="44"/>
      <c r="H22" s="44"/>
    </row>
    <row r="23" spans="1:8" ht="30.75" customHeight="1" x14ac:dyDescent="0.25">
      <c r="A23" s="37" t="s">
        <v>86</v>
      </c>
      <c r="B23" s="27">
        <v>0.35416666666666669</v>
      </c>
      <c r="C23" s="27">
        <v>0.8125</v>
      </c>
      <c r="D23" s="31">
        <v>11</v>
      </c>
      <c r="E23" s="31" t="s">
        <v>56</v>
      </c>
      <c r="F23" s="54" t="s">
        <v>110</v>
      </c>
      <c r="G23" s="54"/>
      <c r="H23" s="54"/>
    </row>
    <row r="24" spans="1:8" x14ac:dyDescent="0.25">
      <c r="A24" s="37" t="s">
        <v>93</v>
      </c>
      <c r="B24" s="27">
        <v>0.33333333333333331</v>
      </c>
      <c r="C24" s="27">
        <v>0.75</v>
      </c>
      <c r="D24" s="31">
        <v>10</v>
      </c>
      <c r="E24" s="31" t="s">
        <v>76</v>
      </c>
      <c r="F24" s="44" t="s">
        <v>94</v>
      </c>
      <c r="G24" s="44"/>
      <c r="H24" s="44"/>
    </row>
    <row r="25" spans="1:8" x14ac:dyDescent="0.25">
      <c r="A25" s="37" t="s">
        <v>98</v>
      </c>
      <c r="B25" s="27">
        <v>0.33333333333333331</v>
      </c>
      <c r="C25" s="27">
        <v>0.79166666666666663</v>
      </c>
      <c r="D25" s="31">
        <v>11</v>
      </c>
      <c r="E25" s="31" t="s">
        <v>76</v>
      </c>
      <c r="F25" s="54" t="s">
        <v>99</v>
      </c>
      <c r="G25" s="54"/>
      <c r="H25" s="54"/>
    </row>
    <row r="26" spans="1:8" x14ac:dyDescent="0.25">
      <c r="A26" s="37"/>
      <c r="B26" s="27"/>
      <c r="C26" s="27"/>
      <c r="D26" s="31"/>
      <c r="E26" s="31"/>
      <c r="F26" s="54"/>
      <c r="G26" s="54"/>
      <c r="H26" s="54"/>
    </row>
    <row r="27" spans="1:8" x14ac:dyDescent="0.25">
      <c r="A27" s="37"/>
      <c r="B27" s="27"/>
      <c r="C27" s="27"/>
      <c r="D27" s="31"/>
      <c r="E27" s="31"/>
      <c r="F27" s="44"/>
      <c r="G27" s="44"/>
      <c r="H27" s="44"/>
    </row>
    <row r="28" spans="1:8" x14ac:dyDescent="0.25">
      <c r="A28" s="5" t="s">
        <v>46</v>
      </c>
      <c r="B28" s="9">
        <f>SUM(D17:D27)</f>
        <v>103.5</v>
      </c>
      <c r="C28" s="15"/>
      <c r="D28" s="7"/>
      <c r="E28" s="16" t="s">
        <v>17</v>
      </c>
      <c r="F28" s="46">
        <f>D29*450</f>
        <v>5821.875</v>
      </c>
      <c r="G28" s="47"/>
      <c r="H28" s="4"/>
    </row>
    <row r="29" spans="1:8" x14ac:dyDescent="0.25">
      <c r="A29" s="14"/>
      <c r="B29" s="7"/>
      <c r="C29" s="17" t="s">
        <v>47</v>
      </c>
      <c r="D29" s="31">
        <f>B28/8</f>
        <v>12.9375</v>
      </c>
      <c r="E29" s="7"/>
      <c r="F29" s="7"/>
      <c r="G29" s="7"/>
      <c r="H29" s="4"/>
    </row>
    <row r="30" spans="1:8" ht="14.45" customHeight="1" x14ac:dyDescent="0.25">
      <c r="A30" s="14"/>
      <c r="B30" s="7"/>
      <c r="C30" s="15"/>
      <c r="D30" s="7"/>
      <c r="E30" s="7"/>
      <c r="F30" s="7"/>
      <c r="G30" s="7"/>
      <c r="H30" s="4"/>
    </row>
    <row r="31" spans="1:8" ht="14.45" customHeight="1" x14ac:dyDescent="0.25">
      <c r="A31" s="14"/>
      <c r="B31" s="7"/>
      <c r="C31" s="15"/>
      <c r="D31" s="7"/>
      <c r="E31" s="7"/>
      <c r="F31" s="7"/>
      <c r="G31" s="7"/>
      <c r="H31" s="4"/>
    </row>
    <row r="32" spans="1:8" ht="14.45" customHeight="1" x14ac:dyDescent="0.25">
      <c r="A32" s="5" t="s">
        <v>18</v>
      </c>
      <c r="B32" s="18"/>
      <c r="C32" s="15"/>
      <c r="D32" s="7"/>
      <c r="E32" s="48" t="s">
        <v>20</v>
      </c>
      <c r="F32" s="48"/>
      <c r="G32" s="48"/>
      <c r="H32" s="49"/>
    </row>
    <row r="33" spans="1:8" ht="14.45" customHeight="1" x14ac:dyDescent="0.25">
      <c r="A33" s="50"/>
      <c r="B33" s="51"/>
      <c r="C33" s="51"/>
      <c r="D33" s="51"/>
      <c r="E33" s="51"/>
      <c r="F33" s="51"/>
      <c r="G33" s="51"/>
      <c r="H33" s="19"/>
    </row>
    <row r="34" spans="1:8" ht="14.45" customHeight="1" x14ac:dyDescent="0.25">
      <c r="A34" s="52"/>
      <c r="B34" s="53"/>
      <c r="C34" s="53"/>
      <c r="D34" s="53"/>
      <c r="E34" s="53"/>
      <c r="F34" s="53"/>
      <c r="G34" s="53"/>
      <c r="H34" s="20"/>
    </row>
    <row r="35" spans="1:8" x14ac:dyDescent="0.25">
      <c r="A35" s="14"/>
      <c r="B35" s="7"/>
      <c r="C35" s="15"/>
      <c r="D35" s="7"/>
      <c r="E35" s="7"/>
      <c r="F35" s="7"/>
      <c r="G35" s="7"/>
      <c r="H35" s="4"/>
    </row>
    <row r="36" spans="1:8" ht="15.75" thickBot="1" x14ac:dyDescent="0.3">
      <c r="A36" s="6" t="s">
        <v>18</v>
      </c>
      <c r="B36" s="21"/>
      <c r="C36" s="22"/>
      <c r="D36" s="23"/>
      <c r="E36" s="42" t="s">
        <v>19</v>
      </c>
      <c r="F36" s="42"/>
      <c r="G36" s="42"/>
      <c r="H36" s="43"/>
    </row>
  </sheetData>
  <mergeCells count="30">
    <mergeCell ref="F25:H25"/>
    <mergeCell ref="F1:H1"/>
    <mergeCell ref="B2:H3"/>
    <mergeCell ref="C5:E5"/>
    <mergeCell ref="E7:H7"/>
    <mergeCell ref="E8:F8"/>
    <mergeCell ref="F24:H24"/>
    <mergeCell ref="F23:H23"/>
    <mergeCell ref="F21:H21"/>
    <mergeCell ref="E9:H9"/>
    <mergeCell ref="E11:F11"/>
    <mergeCell ref="E12:F12"/>
    <mergeCell ref="F15:H16"/>
    <mergeCell ref="F22:H22"/>
    <mergeCell ref="F26:H26"/>
    <mergeCell ref="F27:H27"/>
    <mergeCell ref="E36:H36"/>
    <mergeCell ref="A15:A16"/>
    <mergeCell ref="B15:B16"/>
    <mergeCell ref="C15:C16"/>
    <mergeCell ref="D15:D16"/>
    <mergeCell ref="E15:E16"/>
    <mergeCell ref="F17:H17"/>
    <mergeCell ref="F28:G28"/>
    <mergeCell ref="E32:H32"/>
    <mergeCell ref="A33:G33"/>
    <mergeCell ref="A34:G34"/>
    <mergeCell ref="F18:H18"/>
    <mergeCell ref="F19:H19"/>
    <mergeCell ref="F20:H20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d.Picture.8" shapeId="13313" r:id="rId3">
          <objectPr defaultSize="0" autoPict="0" r:id="rId4">
            <anchor moveWithCells="1" sizeWithCells="1">
              <from>
                <xdr:col>0</xdr:col>
                <xdr:colOff>76200</xdr:colOff>
                <xdr:row>0</xdr:row>
                <xdr:rowOff>133350</xdr:rowOff>
              </from>
              <to>
                <xdr:col>1</xdr:col>
                <xdr:colOff>0</xdr:colOff>
                <xdr:row>4</xdr:row>
                <xdr:rowOff>104775</xdr:rowOff>
              </to>
            </anchor>
          </objectPr>
        </oleObject>
      </mc:Choice>
      <mc:Fallback>
        <oleObject progId="Word.Picture.8" shapeId="13313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>
      <selection activeCell="J23" sqref="J23"/>
    </sheetView>
  </sheetViews>
  <sheetFormatPr defaultRowHeight="15" x14ac:dyDescent="0.25"/>
  <cols>
    <col min="1" max="1" width="17" customWidth="1"/>
    <col min="2" max="2" width="12.42578125" customWidth="1"/>
    <col min="3" max="3" width="11.5703125" customWidth="1"/>
    <col min="4" max="4" width="15.85546875" customWidth="1"/>
    <col min="5" max="5" width="18.140625" customWidth="1"/>
    <col min="8" max="8" width="60.7109375" customWidth="1"/>
    <col min="9" max="9" width="10.42578125" customWidth="1"/>
  </cols>
  <sheetData>
    <row r="1" spans="1:8" x14ac:dyDescent="0.25">
      <c r="A1" s="11"/>
      <c r="B1" s="12"/>
      <c r="C1" s="13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15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15"/>
      <c r="D6" s="7"/>
      <c r="E6" s="7"/>
      <c r="F6" s="7"/>
      <c r="G6" s="7"/>
      <c r="H6" s="4"/>
    </row>
    <row r="7" spans="1:8" x14ac:dyDescent="0.25">
      <c r="A7" s="5" t="s">
        <v>2</v>
      </c>
      <c r="B7" s="31">
        <v>137510</v>
      </c>
      <c r="C7" s="15"/>
      <c r="D7" s="16" t="s">
        <v>3</v>
      </c>
      <c r="E7" s="56" t="s">
        <v>30</v>
      </c>
      <c r="F7" s="57"/>
      <c r="G7" s="57"/>
      <c r="H7" s="58"/>
    </row>
    <row r="8" spans="1:8" x14ac:dyDescent="0.25">
      <c r="A8" s="5" t="s">
        <v>4</v>
      </c>
      <c r="B8" s="31" t="s">
        <v>28</v>
      </c>
      <c r="C8" s="15"/>
      <c r="D8" s="16" t="s">
        <v>5</v>
      </c>
      <c r="E8" s="56" t="s">
        <v>6</v>
      </c>
      <c r="F8" s="59"/>
      <c r="G8" s="7"/>
      <c r="H8" s="4"/>
    </row>
    <row r="9" spans="1:8" x14ac:dyDescent="0.25">
      <c r="A9" s="5" t="s">
        <v>8</v>
      </c>
      <c r="B9" s="31" t="s">
        <v>9</v>
      </c>
      <c r="C9" s="15"/>
      <c r="D9" s="16" t="s">
        <v>7</v>
      </c>
      <c r="E9" s="56" t="s">
        <v>21</v>
      </c>
      <c r="F9" s="57"/>
      <c r="G9" s="57"/>
      <c r="H9" s="58"/>
    </row>
    <row r="10" spans="1:8" x14ac:dyDescent="0.25">
      <c r="A10" s="14"/>
      <c r="B10" s="7"/>
      <c r="C10" s="15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473</v>
      </c>
      <c r="C11" s="15"/>
      <c r="D11" s="16" t="s">
        <v>11</v>
      </c>
      <c r="E11" s="56">
        <v>29560</v>
      </c>
      <c r="F11" s="59"/>
      <c r="G11" s="16" t="s">
        <v>12</v>
      </c>
      <c r="H11" s="36">
        <v>14662</v>
      </c>
    </row>
    <row r="12" spans="1:8" x14ac:dyDescent="0.25">
      <c r="A12" s="5" t="s">
        <v>49</v>
      </c>
      <c r="B12" s="31">
        <v>450</v>
      </c>
      <c r="C12" s="15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15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15"/>
      <c r="D14" s="7"/>
      <c r="E14" s="7"/>
      <c r="F14" s="7"/>
      <c r="G14" s="7"/>
      <c r="H14" s="4"/>
    </row>
    <row r="15" spans="1:8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x14ac:dyDescent="0.25">
      <c r="A16" s="61"/>
      <c r="B16" s="61"/>
      <c r="C16" s="63"/>
      <c r="D16" s="69"/>
      <c r="E16" s="70"/>
      <c r="F16" s="67"/>
      <c r="G16" s="68"/>
      <c r="H16" s="69"/>
    </row>
    <row r="17" spans="1:8" ht="15.75" customHeight="1" x14ac:dyDescent="0.25">
      <c r="A17" s="26" t="s">
        <v>58</v>
      </c>
      <c r="B17" s="27">
        <v>0.3125</v>
      </c>
      <c r="C17" s="28">
        <v>0.95833333333333337</v>
      </c>
      <c r="D17" s="31">
        <v>15.5</v>
      </c>
      <c r="E17" s="31" t="s">
        <v>59</v>
      </c>
      <c r="F17" s="44" t="s">
        <v>104</v>
      </c>
      <c r="G17" s="44"/>
      <c r="H17" s="45"/>
    </row>
    <row r="18" spans="1:8" ht="18.75" customHeight="1" x14ac:dyDescent="0.25">
      <c r="A18" s="26" t="s">
        <v>60</v>
      </c>
      <c r="B18" s="27">
        <v>0.35416666666666669</v>
      </c>
      <c r="C18" s="27">
        <v>0.6875</v>
      </c>
      <c r="D18" s="31">
        <v>8</v>
      </c>
      <c r="E18" s="31" t="s">
        <v>56</v>
      </c>
      <c r="F18" s="54" t="s">
        <v>54</v>
      </c>
      <c r="G18" s="54"/>
      <c r="H18" s="55"/>
    </row>
    <row r="19" spans="1:8" ht="33.75" customHeight="1" x14ac:dyDescent="0.25">
      <c r="A19" s="26" t="s">
        <v>67</v>
      </c>
      <c r="B19" s="27">
        <v>0.35416666666666669</v>
      </c>
      <c r="C19" s="27">
        <v>0.75</v>
      </c>
      <c r="D19" s="31">
        <v>9.5</v>
      </c>
      <c r="E19" s="31" t="s">
        <v>59</v>
      </c>
      <c r="F19" s="54" t="s">
        <v>68</v>
      </c>
      <c r="G19" s="54"/>
      <c r="H19" s="55"/>
    </row>
    <row r="20" spans="1:8" x14ac:dyDescent="0.25">
      <c r="A20" s="26" t="s">
        <v>69</v>
      </c>
      <c r="B20" s="27">
        <v>0.35416666666666669</v>
      </c>
      <c r="C20" s="27">
        <v>0.77083333333333337</v>
      </c>
      <c r="D20" s="31">
        <v>10</v>
      </c>
      <c r="E20" s="31" t="s">
        <v>70</v>
      </c>
      <c r="F20" s="54" t="s">
        <v>71</v>
      </c>
      <c r="G20" s="54"/>
      <c r="H20" s="55"/>
    </row>
    <row r="21" spans="1:8" x14ac:dyDescent="0.25">
      <c r="A21" s="26" t="s">
        <v>74</v>
      </c>
      <c r="B21" s="27">
        <v>0.35416666666666669</v>
      </c>
      <c r="C21" s="27">
        <v>0.72916666666666663</v>
      </c>
      <c r="D21" s="31">
        <v>9</v>
      </c>
      <c r="E21" s="31" t="s">
        <v>56</v>
      </c>
      <c r="F21" s="54" t="s">
        <v>75</v>
      </c>
      <c r="G21" s="54"/>
      <c r="H21" s="55"/>
    </row>
    <row r="22" spans="1:8" x14ac:dyDescent="0.25">
      <c r="A22" s="26" t="s">
        <v>78</v>
      </c>
      <c r="B22" s="27">
        <v>0.3125</v>
      </c>
      <c r="C22" s="27">
        <v>0.97916666666666663</v>
      </c>
      <c r="D22" s="31">
        <v>16</v>
      </c>
      <c r="E22" s="31" t="s">
        <v>64</v>
      </c>
      <c r="F22" s="56" t="s">
        <v>79</v>
      </c>
      <c r="G22" s="57"/>
      <c r="H22" s="58"/>
    </row>
    <row r="23" spans="1:8" x14ac:dyDescent="0.25">
      <c r="A23" s="26" t="s">
        <v>82</v>
      </c>
      <c r="B23" s="27">
        <v>0.25</v>
      </c>
      <c r="C23" s="27">
        <v>0.8125</v>
      </c>
      <c r="D23" s="31">
        <v>13.5</v>
      </c>
      <c r="E23" s="31" t="s">
        <v>59</v>
      </c>
      <c r="F23" s="44" t="s">
        <v>108</v>
      </c>
      <c r="G23" s="44"/>
      <c r="H23" s="45"/>
    </row>
    <row r="24" spans="1:8" x14ac:dyDescent="0.25">
      <c r="A24" s="37" t="s">
        <v>89</v>
      </c>
      <c r="B24" s="27">
        <v>0.35416666666666669</v>
      </c>
      <c r="C24" s="27">
        <v>0.6875</v>
      </c>
      <c r="D24" s="31">
        <v>8</v>
      </c>
      <c r="E24" s="31" t="s">
        <v>56</v>
      </c>
      <c r="F24" s="56" t="s">
        <v>90</v>
      </c>
      <c r="G24" s="57"/>
      <c r="H24" s="59"/>
    </row>
    <row r="25" spans="1:8" x14ac:dyDescent="0.25">
      <c r="A25" s="37" t="s">
        <v>91</v>
      </c>
      <c r="B25" s="27">
        <v>0.3125</v>
      </c>
      <c r="C25" s="27">
        <v>0.89583333333333337</v>
      </c>
      <c r="D25" s="27">
        <v>0.58333333333333337</v>
      </c>
      <c r="E25" s="31" t="s">
        <v>59</v>
      </c>
      <c r="F25" s="56" t="s">
        <v>92</v>
      </c>
      <c r="G25" s="57"/>
      <c r="H25" s="59"/>
    </row>
    <row r="26" spans="1:8" x14ac:dyDescent="0.25">
      <c r="A26" s="37" t="s">
        <v>97</v>
      </c>
      <c r="B26" s="27">
        <v>0.29166666666666669</v>
      </c>
      <c r="C26" s="27">
        <v>0.89583333333333337</v>
      </c>
      <c r="D26" s="31">
        <v>14.5</v>
      </c>
      <c r="E26" s="31" t="s">
        <v>59</v>
      </c>
      <c r="F26" s="87" t="s">
        <v>105</v>
      </c>
      <c r="G26" s="88"/>
      <c r="H26" s="90"/>
    </row>
    <row r="27" spans="1:8" x14ac:dyDescent="0.25">
      <c r="A27" s="37"/>
      <c r="B27" s="27"/>
      <c r="C27" s="27"/>
      <c r="D27" s="31"/>
      <c r="E27" s="31"/>
      <c r="F27" s="56"/>
      <c r="G27" s="57"/>
      <c r="H27" s="59"/>
    </row>
    <row r="28" spans="1:8" x14ac:dyDescent="0.25">
      <c r="A28" s="37"/>
      <c r="B28" s="27"/>
      <c r="C28" s="27"/>
      <c r="D28" s="31"/>
      <c r="E28" s="31"/>
      <c r="F28" s="56"/>
      <c r="G28" s="57"/>
      <c r="H28" s="59"/>
    </row>
    <row r="29" spans="1:8" x14ac:dyDescent="0.25">
      <c r="A29" s="5" t="s">
        <v>46</v>
      </c>
      <c r="B29" s="9">
        <f>SUM(D17:D28)</f>
        <v>104.58333333333333</v>
      </c>
      <c r="C29" s="15"/>
      <c r="D29" s="7"/>
      <c r="E29" s="16" t="s">
        <v>17</v>
      </c>
      <c r="F29" s="46">
        <f>D30*450</f>
        <v>5882.8125</v>
      </c>
      <c r="G29" s="47"/>
      <c r="H29" s="4"/>
    </row>
    <row r="30" spans="1:8" x14ac:dyDescent="0.25">
      <c r="A30" s="14"/>
      <c r="B30" s="7"/>
      <c r="C30" s="17" t="s">
        <v>47</v>
      </c>
      <c r="D30" s="31">
        <f>B29/8</f>
        <v>13.072916666666666</v>
      </c>
      <c r="E30" s="7"/>
      <c r="F30" s="7"/>
      <c r="G30" s="7"/>
      <c r="H30" s="4"/>
    </row>
    <row r="31" spans="1:8" x14ac:dyDescent="0.25">
      <c r="A31" s="14"/>
      <c r="B31" s="7"/>
      <c r="C31" s="15"/>
      <c r="D31" s="7"/>
      <c r="E31" s="7"/>
      <c r="F31" s="7"/>
      <c r="G31" s="7"/>
      <c r="H31" s="4"/>
    </row>
    <row r="32" spans="1:8" x14ac:dyDescent="0.25">
      <c r="A32" s="14"/>
      <c r="B32" s="7"/>
      <c r="C32" s="15"/>
      <c r="D32" s="7"/>
      <c r="E32" s="7"/>
      <c r="F32" s="7"/>
      <c r="G32" s="7"/>
      <c r="H32" s="4"/>
    </row>
    <row r="33" spans="1:8" x14ac:dyDescent="0.25">
      <c r="A33" s="5" t="s">
        <v>18</v>
      </c>
      <c r="B33" s="18"/>
      <c r="C33" s="15"/>
      <c r="D33" s="7"/>
      <c r="E33" s="48" t="s">
        <v>20</v>
      </c>
      <c r="F33" s="48"/>
      <c r="G33" s="48"/>
      <c r="H33" s="49"/>
    </row>
    <row r="34" spans="1:8" x14ac:dyDescent="0.25">
      <c r="A34" s="50"/>
      <c r="B34" s="51"/>
      <c r="C34" s="51"/>
      <c r="D34" s="51"/>
      <c r="E34" s="51"/>
      <c r="F34" s="51"/>
      <c r="G34" s="51"/>
      <c r="H34" s="19"/>
    </row>
    <row r="35" spans="1:8" x14ac:dyDescent="0.25">
      <c r="A35" s="52"/>
      <c r="B35" s="53"/>
      <c r="C35" s="53"/>
      <c r="D35" s="53"/>
      <c r="E35" s="53"/>
      <c r="F35" s="53"/>
      <c r="G35" s="53"/>
      <c r="H35" s="20"/>
    </row>
    <row r="36" spans="1:8" x14ac:dyDescent="0.25">
      <c r="A36" s="14"/>
      <c r="B36" s="7"/>
      <c r="C36" s="15"/>
      <c r="D36" s="7"/>
      <c r="E36" s="7"/>
      <c r="F36" s="7"/>
      <c r="G36" s="7"/>
      <c r="H36" s="4"/>
    </row>
    <row r="37" spans="1:8" ht="15.75" thickBot="1" x14ac:dyDescent="0.3">
      <c r="A37" s="6" t="s">
        <v>18</v>
      </c>
      <c r="B37" s="21"/>
      <c r="C37" s="22"/>
      <c r="D37" s="23"/>
      <c r="E37" s="42" t="s">
        <v>19</v>
      </c>
      <c r="F37" s="42"/>
      <c r="G37" s="42"/>
      <c r="H37" s="43"/>
    </row>
  </sheetData>
  <mergeCells count="31">
    <mergeCell ref="E9:H9"/>
    <mergeCell ref="F1:H1"/>
    <mergeCell ref="B2:H3"/>
    <mergeCell ref="C5:E5"/>
    <mergeCell ref="E7:H7"/>
    <mergeCell ref="E8:F8"/>
    <mergeCell ref="F21:H21"/>
    <mergeCell ref="F20:H20"/>
    <mergeCell ref="E11:F11"/>
    <mergeCell ref="E12:F12"/>
    <mergeCell ref="A15:A16"/>
    <mergeCell ref="B15:B16"/>
    <mergeCell ref="C15:C16"/>
    <mergeCell ref="D15:D16"/>
    <mergeCell ref="E15:E16"/>
    <mergeCell ref="F15:H16"/>
    <mergeCell ref="F17:H17"/>
    <mergeCell ref="F19:H19"/>
    <mergeCell ref="F18:H18"/>
    <mergeCell ref="F22:H22"/>
    <mergeCell ref="E37:H37"/>
    <mergeCell ref="F29:G29"/>
    <mergeCell ref="E33:H33"/>
    <mergeCell ref="A34:G34"/>
    <mergeCell ref="A35:G35"/>
    <mergeCell ref="F23:H23"/>
    <mergeCell ref="F24:H24"/>
    <mergeCell ref="F28:H28"/>
    <mergeCell ref="F25:H25"/>
    <mergeCell ref="F26:H26"/>
    <mergeCell ref="F27:H27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d.Picture.8" shapeId="14337" r:id="rId3">
          <objectPr defaultSize="0" autoPict="0" r:id="rId4">
            <anchor moveWithCells="1" sizeWithCells="1">
              <from>
                <xdr:col>0</xdr:col>
                <xdr:colOff>76200</xdr:colOff>
                <xdr:row>0</xdr:row>
                <xdr:rowOff>133350</xdr:rowOff>
              </from>
              <to>
                <xdr:col>1</xdr:col>
                <xdr:colOff>0</xdr:colOff>
                <xdr:row>4</xdr:row>
                <xdr:rowOff>104775</xdr:rowOff>
              </to>
            </anchor>
          </objectPr>
        </oleObject>
      </mc:Choice>
      <mc:Fallback>
        <oleObject progId="Word.Picture.8" shapeId="14337" r:id="rId3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1"/>
  <sheetViews>
    <sheetView workbookViewId="0">
      <selection activeCell="F20" sqref="F20:H20"/>
    </sheetView>
  </sheetViews>
  <sheetFormatPr defaultRowHeight="15" x14ac:dyDescent="0.25"/>
  <cols>
    <col min="1" max="1" width="15.7109375" customWidth="1"/>
    <col min="2" max="2" width="12.28515625" customWidth="1"/>
    <col min="3" max="3" width="11.5703125" customWidth="1"/>
    <col min="4" max="4" width="16.5703125" customWidth="1"/>
    <col min="5" max="5" width="16.28515625" customWidth="1"/>
    <col min="8" max="8" width="57" customWidth="1"/>
  </cols>
  <sheetData>
    <row r="1" spans="1:8" x14ac:dyDescent="0.25">
      <c r="A1" s="11"/>
      <c r="B1" s="12"/>
      <c r="C1" s="12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7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7"/>
      <c r="D6" s="7"/>
      <c r="E6" s="7"/>
      <c r="F6" s="7"/>
      <c r="G6" s="7"/>
      <c r="H6" s="4"/>
    </row>
    <row r="7" spans="1:8" x14ac:dyDescent="0.25">
      <c r="A7" s="5" t="s">
        <v>2</v>
      </c>
      <c r="B7" s="31">
        <v>128734</v>
      </c>
      <c r="C7" s="7"/>
      <c r="D7" s="16" t="s">
        <v>3</v>
      </c>
      <c r="E7" s="56" t="s">
        <v>32</v>
      </c>
      <c r="F7" s="57"/>
      <c r="G7" s="57"/>
      <c r="H7" s="58"/>
    </row>
    <row r="8" spans="1:8" x14ac:dyDescent="0.25">
      <c r="A8" s="5" t="s">
        <v>4</v>
      </c>
      <c r="B8" s="31" t="s">
        <v>33</v>
      </c>
      <c r="C8" s="7"/>
      <c r="D8" s="16" t="s">
        <v>5</v>
      </c>
      <c r="E8" s="56" t="s">
        <v>6</v>
      </c>
      <c r="F8" s="59"/>
      <c r="G8" s="7"/>
      <c r="H8" s="4"/>
    </row>
    <row r="9" spans="1:8" x14ac:dyDescent="0.25">
      <c r="A9" s="5" t="s">
        <v>8</v>
      </c>
      <c r="B9" s="31" t="s">
        <v>9</v>
      </c>
      <c r="C9" s="7"/>
      <c r="D9" s="16" t="s">
        <v>7</v>
      </c>
      <c r="E9" s="56" t="s">
        <v>21</v>
      </c>
      <c r="F9" s="57"/>
      <c r="G9" s="57"/>
      <c r="H9" s="58"/>
    </row>
    <row r="10" spans="1:8" x14ac:dyDescent="0.25">
      <c r="A10" s="14"/>
      <c r="B10" s="7"/>
      <c r="C10" s="7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473</v>
      </c>
      <c r="C11" s="7"/>
      <c r="D11" s="16" t="s">
        <v>11</v>
      </c>
      <c r="E11" s="56">
        <v>36030</v>
      </c>
      <c r="F11" s="59"/>
      <c r="G11" s="16" t="s">
        <v>12</v>
      </c>
      <c r="H11" s="36">
        <v>17871</v>
      </c>
    </row>
    <row r="12" spans="1:8" x14ac:dyDescent="0.25">
      <c r="A12" s="5" t="s">
        <v>49</v>
      </c>
      <c r="B12" s="31">
        <v>450</v>
      </c>
      <c r="C12" s="7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7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7"/>
      <c r="D14" s="7"/>
      <c r="E14" s="7"/>
      <c r="F14" s="7"/>
      <c r="G14" s="7"/>
      <c r="H14" s="4"/>
    </row>
    <row r="15" spans="1:8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x14ac:dyDescent="0.25">
      <c r="A16" s="61"/>
      <c r="B16" s="61"/>
      <c r="C16" s="63"/>
      <c r="D16" s="69"/>
      <c r="E16" s="70"/>
      <c r="F16" s="67"/>
      <c r="G16" s="68"/>
      <c r="H16" s="69"/>
    </row>
    <row r="17" spans="1:8" ht="15" customHeight="1" x14ac:dyDescent="0.25">
      <c r="A17" s="26" t="s">
        <v>60</v>
      </c>
      <c r="B17" s="27">
        <v>0.3125</v>
      </c>
      <c r="C17" s="27">
        <v>0.91666666666666663</v>
      </c>
      <c r="D17" s="31">
        <v>14.5</v>
      </c>
      <c r="E17" s="31" t="s">
        <v>59</v>
      </c>
      <c r="F17" s="54" t="s">
        <v>102</v>
      </c>
      <c r="G17" s="54"/>
      <c r="H17" s="54"/>
    </row>
    <row r="18" spans="1:8" ht="15.75" customHeight="1" x14ac:dyDescent="0.25">
      <c r="A18" s="26" t="s">
        <v>67</v>
      </c>
      <c r="B18" s="27">
        <v>0.35416666666666669</v>
      </c>
      <c r="C18" s="28">
        <v>0.6875</v>
      </c>
      <c r="D18" s="31">
        <v>8</v>
      </c>
      <c r="E18" s="31" t="s">
        <v>56</v>
      </c>
      <c r="F18" s="44" t="s">
        <v>54</v>
      </c>
      <c r="G18" s="44"/>
      <c r="H18" s="45"/>
    </row>
    <row r="19" spans="1:8" x14ac:dyDescent="0.25">
      <c r="A19" s="26" t="s">
        <v>72</v>
      </c>
      <c r="B19" s="27">
        <v>0.3125</v>
      </c>
      <c r="C19" s="27">
        <v>0.79166666666666663</v>
      </c>
      <c r="D19" s="31">
        <v>11.5</v>
      </c>
      <c r="E19" s="31" t="s">
        <v>56</v>
      </c>
      <c r="F19" s="54" t="s">
        <v>73</v>
      </c>
      <c r="G19" s="54"/>
      <c r="H19" s="55"/>
    </row>
    <row r="20" spans="1:8" ht="15.75" customHeight="1" x14ac:dyDescent="0.25">
      <c r="A20" s="38" t="s">
        <v>80</v>
      </c>
      <c r="B20" s="27">
        <v>0.3125</v>
      </c>
      <c r="C20" s="27">
        <v>0.99930555555555556</v>
      </c>
      <c r="D20" s="31">
        <v>16.5</v>
      </c>
      <c r="E20" s="31" t="s">
        <v>64</v>
      </c>
      <c r="F20" s="54" t="s">
        <v>103</v>
      </c>
      <c r="G20" s="54"/>
      <c r="H20" s="54"/>
    </row>
    <row r="21" spans="1:8" x14ac:dyDescent="0.25">
      <c r="A21" s="26" t="s">
        <v>83</v>
      </c>
      <c r="B21" s="27">
        <v>0.29166666666666669</v>
      </c>
      <c r="C21" s="27">
        <v>0.9375</v>
      </c>
      <c r="D21" s="31">
        <v>15.5</v>
      </c>
      <c r="E21" s="31" t="s">
        <v>64</v>
      </c>
      <c r="F21" s="44" t="s">
        <v>85</v>
      </c>
      <c r="G21" s="44"/>
      <c r="H21" s="45"/>
    </row>
    <row r="22" spans="1:8" x14ac:dyDescent="0.25">
      <c r="A22" s="26" t="s">
        <v>87</v>
      </c>
      <c r="B22" s="27">
        <v>0.35416666666666669</v>
      </c>
      <c r="C22" s="27">
        <v>0.79166666666666663</v>
      </c>
      <c r="D22" s="31">
        <v>10.5</v>
      </c>
      <c r="E22" s="31" t="s">
        <v>56</v>
      </c>
      <c r="F22" s="56" t="s">
        <v>88</v>
      </c>
      <c r="G22" s="57"/>
      <c r="H22" s="58"/>
    </row>
    <row r="23" spans="1:8" x14ac:dyDescent="0.25">
      <c r="A23" s="37" t="s">
        <v>91</v>
      </c>
      <c r="B23" s="27">
        <v>0.3125</v>
      </c>
      <c r="C23" s="27">
        <v>0.89583333333333337</v>
      </c>
      <c r="D23" s="27">
        <v>0.58333333333333337</v>
      </c>
      <c r="E23" s="31" t="s">
        <v>59</v>
      </c>
      <c r="F23" s="56" t="s">
        <v>92</v>
      </c>
      <c r="G23" s="57"/>
      <c r="H23" s="59"/>
    </row>
    <row r="24" spans="1:8" x14ac:dyDescent="0.25">
      <c r="A24" s="41" t="s">
        <v>95</v>
      </c>
      <c r="B24" s="27">
        <v>0.33333333333333331</v>
      </c>
      <c r="C24" s="27">
        <v>0.75</v>
      </c>
      <c r="D24" s="31">
        <v>10</v>
      </c>
      <c r="E24" s="31" t="s">
        <v>76</v>
      </c>
      <c r="F24" s="54" t="s">
        <v>96</v>
      </c>
      <c r="G24" s="54"/>
      <c r="H24" s="55"/>
    </row>
    <row r="25" spans="1:8" x14ac:dyDescent="0.25">
      <c r="A25" s="26" t="s">
        <v>98</v>
      </c>
      <c r="B25" s="27">
        <v>0.33333333333333331</v>
      </c>
      <c r="C25" s="27">
        <v>0.79166666666666663</v>
      </c>
      <c r="D25" s="7">
        <v>11</v>
      </c>
      <c r="E25" s="31" t="s">
        <v>76</v>
      </c>
      <c r="F25" s="54" t="s">
        <v>99</v>
      </c>
      <c r="G25" s="54"/>
      <c r="H25" s="55"/>
    </row>
    <row r="26" spans="1:8" x14ac:dyDescent="0.25">
      <c r="A26" s="26" t="s">
        <v>100</v>
      </c>
      <c r="B26" s="27">
        <v>0.3125</v>
      </c>
      <c r="C26" s="27">
        <v>0.83333333333333337</v>
      </c>
      <c r="D26" s="31">
        <v>12.5</v>
      </c>
      <c r="E26" s="31" t="s">
        <v>59</v>
      </c>
      <c r="F26" s="56" t="s">
        <v>101</v>
      </c>
      <c r="G26" s="57"/>
      <c r="H26" s="58"/>
    </row>
    <row r="27" spans="1:8" x14ac:dyDescent="0.25">
      <c r="A27" s="26"/>
      <c r="B27" s="27"/>
      <c r="C27" s="27"/>
      <c r="D27" s="31"/>
      <c r="E27" s="31"/>
      <c r="F27" s="56"/>
      <c r="G27" s="57"/>
      <c r="H27" s="58"/>
    </row>
    <row r="28" spans="1:8" x14ac:dyDescent="0.25">
      <c r="A28" s="8"/>
      <c r="B28" s="31"/>
      <c r="C28" s="31"/>
      <c r="D28" s="31"/>
      <c r="E28" s="31"/>
      <c r="F28" s="56"/>
      <c r="G28" s="57"/>
      <c r="H28" s="58"/>
    </row>
    <row r="29" spans="1:8" x14ac:dyDescent="0.25">
      <c r="A29" s="5" t="s">
        <v>46</v>
      </c>
      <c r="B29" s="9">
        <f>SUM(D17:D28)</f>
        <v>110.58333333333333</v>
      </c>
      <c r="C29" s="15"/>
      <c r="D29" s="7"/>
      <c r="E29" s="16" t="s">
        <v>17</v>
      </c>
      <c r="F29" s="46">
        <f>D30*450</f>
        <v>6220.3125</v>
      </c>
      <c r="G29" s="47"/>
      <c r="H29" s="4"/>
    </row>
    <row r="30" spans="1:8" x14ac:dyDescent="0.25">
      <c r="A30" s="14"/>
      <c r="B30" s="7"/>
      <c r="C30" s="17" t="s">
        <v>47</v>
      </c>
      <c r="D30" s="31">
        <f>B29/8</f>
        <v>13.822916666666666</v>
      </c>
      <c r="E30" s="7"/>
      <c r="F30" s="7"/>
      <c r="G30" s="7"/>
      <c r="H30" s="4"/>
    </row>
    <row r="31" spans="1:8" x14ac:dyDescent="0.25">
      <c r="A31" s="14"/>
      <c r="B31" s="7"/>
      <c r="C31" s="15"/>
      <c r="D31" s="7"/>
      <c r="E31" s="7"/>
      <c r="F31" s="7"/>
      <c r="G31" s="7"/>
      <c r="H31" s="4"/>
    </row>
    <row r="32" spans="1:8" x14ac:dyDescent="0.25">
      <c r="A32" s="14"/>
      <c r="B32" s="7"/>
      <c r="C32" s="15"/>
      <c r="D32" s="7"/>
      <c r="E32" s="7"/>
      <c r="F32" s="7"/>
      <c r="G32" s="7"/>
      <c r="H32" s="4"/>
    </row>
    <row r="33" spans="1:8" x14ac:dyDescent="0.25">
      <c r="A33" s="5" t="s">
        <v>18</v>
      </c>
      <c r="B33" s="18"/>
      <c r="C33" s="15"/>
      <c r="D33" s="7"/>
      <c r="E33" s="48" t="s">
        <v>20</v>
      </c>
      <c r="F33" s="48"/>
      <c r="G33" s="48"/>
      <c r="H33" s="49"/>
    </row>
    <row r="34" spans="1:8" x14ac:dyDescent="0.25">
      <c r="A34" s="50"/>
      <c r="B34" s="51"/>
      <c r="C34" s="51"/>
      <c r="D34" s="51"/>
      <c r="E34" s="51"/>
      <c r="F34" s="51"/>
      <c r="G34" s="51"/>
      <c r="H34" s="19"/>
    </row>
    <row r="35" spans="1:8" x14ac:dyDescent="0.25">
      <c r="A35" s="52"/>
      <c r="B35" s="53"/>
      <c r="C35" s="53"/>
      <c r="D35" s="53"/>
      <c r="E35" s="53"/>
      <c r="F35" s="53"/>
      <c r="G35" s="53"/>
      <c r="H35" s="20"/>
    </row>
    <row r="36" spans="1:8" x14ac:dyDescent="0.25">
      <c r="A36" s="14"/>
      <c r="B36" s="7"/>
      <c r="C36" s="15"/>
      <c r="D36" s="7"/>
      <c r="E36" s="7"/>
      <c r="F36" s="7"/>
      <c r="G36" s="7"/>
      <c r="H36" s="4"/>
    </row>
    <row r="37" spans="1:8" ht="15.75" thickBot="1" x14ac:dyDescent="0.3">
      <c r="A37" s="6" t="s">
        <v>18</v>
      </c>
      <c r="B37" s="21"/>
      <c r="C37" s="22"/>
      <c r="D37" s="23"/>
      <c r="E37" s="42" t="s">
        <v>19</v>
      </c>
      <c r="F37" s="42"/>
      <c r="G37" s="42"/>
      <c r="H37" s="43"/>
    </row>
    <row r="38" spans="1:8" x14ac:dyDescent="0.25">
      <c r="A38" s="85"/>
      <c r="B38" s="85"/>
      <c r="C38" s="85"/>
      <c r="D38" s="85"/>
      <c r="E38" s="85"/>
      <c r="F38" s="85"/>
      <c r="G38" s="85"/>
      <c r="H38" s="1"/>
    </row>
    <row r="39" spans="1:8" x14ac:dyDescent="0.25">
      <c r="A39" s="86"/>
      <c r="B39" s="86"/>
      <c r="C39" s="86"/>
      <c r="D39" s="86"/>
      <c r="E39" s="86"/>
      <c r="F39" s="86"/>
      <c r="G39" s="86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86"/>
      <c r="B41" s="86"/>
      <c r="C41" s="86"/>
      <c r="D41" s="86"/>
      <c r="E41" s="86"/>
      <c r="F41" s="86"/>
      <c r="G41" s="86"/>
      <c r="H41" s="2"/>
    </row>
  </sheetData>
  <mergeCells count="34">
    <mergeCell ref="A39:G39"/>
    <mergeCell ref="A41:G41"/>
    <mergeCell ref="F22:H22"/>
    <mergeCell ref="F23:H23"/>
    <mergeCell ref="F24:H24"/>
    <mergeCell ref="F25:H25"/>
    <mergeCell ref="F26:H26"/>
    <mergeCell ref="F28:H28"/>
    <mergeCell ref="D15:D16"/>
    <mergeCell ref="E15:E16"/>
    <mergeCell ref="F19:H19"/>
    <mergeCell ref="F21:H21"/>
    <mergeCell ref="A38:G38"/>
    <mergeCell ref="A35:G35"/>
    <mergeCell ref="E37:H37"/>
    <mergeCell ref="F29:G29"/>
    <mergeCell ref="E33:H33"/>
    <mergeCell ref="A34:G34"/>
    <mergeCell ref="A15:A16"/>
    <mergeCell ref="B15:B16"/>
    <mergeCell ref="C15:C16"/>
    <mergeCell ref="F20:H20"/>
    <mergeCell ref="F27:H27"/>
    <mergeCell ref="F1:H1"/>
    <mergeCell ref="B2:H3"/>
    <mergeCell ref="C5:E5"/>
    <mergeCell ref="E7:H7"/>
    <mergeCell ref="E8:F8"/>
    <mergeCell ref="E9:H9"/>
    <mergeCell ref="F18:H18"/>
    <mergeCell ref="F17:H17"/>
    <mergeCell ref="E11:F11"/>
    <mergeCell ref="E12:F12"/>
    <mergeCell ref="F15:H1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Picture.8" shapeId="15361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133350</xdr:rowOff>
              </from>
              <to>
                <xdr:col>1</xdr:col>
                <xdr:colOff>0</xdr:colOff>
                <xdr:row>4</xdr:row>
                <xdr:rowOff>209550</xdr:rowOff>
              </to>
            </anchor>
          </objectPr>
        </oleObject>
      </mc:Choice>
      <mc:Fallback>
        <oleObject progId="Word.Picture.8" shapeId="15361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workbookViewId="0">
      <selection activeCell="M26" sqref="M25:M26"/>
    </sheetView>
  </sheetViews>
  <sheetFormatPr defaultRowHeight="15" x14ac:dyDescent="0.25"/>
  <cols>
    <col min="1" max="1" width="16.28515625" customWidth="1"/>
    <col min="2" max="2" width="13.28515625" customWidth="1"/>
    <col min="3" max="3" width="11.140625" customWidth="1"/>
    <col min="4" max="5" width="16" customWidth="1"/>
    <col min="6" max="6" width="26.28515625" customWidth="1"/>
    <col min="8" max="8" width="23.42578125" customWidth="1"/>
  </cols>
  <sheetData>
    <row r="1" spans="1:8" x14ac:dyDescent="0.25">
      <c r="A1" s="11"/>
      <c r="B1" s="12"/>
      <c r="C1" s="12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7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7"/>
      <c r="D6" s="7"/>
      <c r="E6" s="7"/>
      <c r="F6" s="7"/>
      <c r="G6" s="7"/>
      <c r="H6" s="4"/>
    </row>
    <row r="7" spans="1:8" x14ac:dyDescent="0.25">
      <c r="A7" s="5" t="s">
        <v>2</v>
      </c>
      <c r="B7" s="31">
        <v>129190</v>
      </c>
      <c r="C7" s="7"/>
      <c r="D7" s="16" t="s">
        <v>3</v>
      </c>
      <c r="E7" s="56" t="s">
        <v>41</v>
      </c>
      <c r="F7" s="57"/>
      <c r="G7" s="57"/>
      <c r="H7" s="58"/>
    </row>
    <row r="8" spans="1:8" x14ac:dyDescent="0.25">
      <c r="A8" s="5" t="s">
        <v>4</v>
      </c>
      <c r="B8" s="31" t="s">
        <v>51</v>
      </c>
      <c r="C8" s="7"/>
      <c r="D8" s="16" t="s">
        <v>5</v>
      </c>
      <c r="E8" s="56" t="s">
        <v>6</v>
      </c>
      <c r="F8" s="59"/>
      <c r="G8" s="7"/>
      <c r="H8" s="4"/>
    </row>
    <row r="9" spans="1:8" x14ac:dyDescent="0.25">
      <c r="A9" s="5" t="s">
        <v>8</v>
      </c>
      <c r="B9" s="31" t="s">
        <v>9</v>
      </c>
      <c r="C9" s="7"/>
      <c r="D9" s="16" t="s">
        <v>7</v>
      </c>
      <c r="E9" s="56" t="s">
        <v>21</v>
      </c>
      <c r="F9" s="57"/>
      <c r="G9" s="57"/>
      <c r="H9" s="58"/>
    </row>
    <row r="10" spans="1:8" x14ac:dyDescent="0.25">
      <c r="A10" s="14"/>
      <c r="B10" s="7"/>
      <c r="C10" s="7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477</v>
      </c>
      <c r="C11" s="7"/>
      <c r="D11" s="16" t="s">
        <v>11</v>
      </c>
      <c r="E11" s="56">
        <v>41990</v>
      </c>
      <c r="F11" s="59"/>
      <c r="G11" s="16" t="s">
        <v>12</v>
      </c>
      <c r="H11" s="36">
        <v>20827</v>
      </c>
    </row>
    <row r="12" spans="1:8" x14ac:dyDescent="0.25">
      <c r="A12" s="5" t="s">
        <v>50</v>
      </c>
      <c r="B12" s="31">
        <v>450</v>
      </c>
      <c r="C12" s="7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7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7"/>
      <c r="D14" s="7"/>
      <c r="E14" s="7"/>
      <c r="F14" s="7"/>
      <c r="G14" s="7"/>
      <c r="H14" s="4"/>
    </row>
    <row r="15" spans="1:8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x14ac:dyDescent="0.25">
      <c r="A16" s="61"/>
      <c r="B16" s="61"/>
      <c r="C16" s="63"/>
      <c r="D16" s="69"/>
      <c r="E16" s="70"/>
      <c r="F16" s="67"/>
      <c r="G16" s="68"/>
      <c r="H16" s="69"/>
    </row>
    <row r="17" spans="1:8" ht="15" customHeight="1" x14ac:dyDescent="0.25">
      <c r="A17" s="26" t="s">
        <v>55</v>
      </c>
      <c r="B17" s="27">
        <v>0.35416666666666669</v>
      </c>
      <c r="C17" s="27">
        <v>0.72916666666666663</v>
      </c>
      <c r="D17" s="31">
        <v>9</v>
      </c>
      <c r="E17" s="31" t="s">
        <v>56</v>
      </c>
      <c r="F17" s="54" t="s">
        <v>57</v>
      </c>
      <c r="G17" s="54"/>
      <c r="H17" s="55"/>
    </row>
    <row r="18" spans="1:8" ht="15.75" customHeight="1" x14ac:dyDescent="0.25">
      <c r="A18" s="26" t="s">
        <v>74</v>
      </c>
      <c r="B18" s="27">
        <v>0.33333333333333331</v>
      </c>
      <c r="C18" s="28">
        <v>0.77083333333333337</v>
      </c>
      <c r="D18" s="31">
        <v>10.5</v>
      </c>
      <c r="E18" s="31" t="s">
        <v>76</v>
      </c>
      <c r="F18" s="44" t="s">
        <v>77</v>
      </c>
      <c r="G18" s="44"/>
      <c r="H18" s="45"/>
    </row>
    <row r="19" spans="1:8" ht="32.25" customHeight="1" x14ac:dyDescent="0.25">
      <c r="A19" s="38" t="s">
        <v>80</v>
      </c>
      <c r="B19" s="27">
        <v>0.3125</v>
      </c>
      <c r="C19" s="27">
        <v>0.99930555555555556</v>
      </c>
      <c r="D19" s="31">
        <v>16.5</v>
      </c>
      <c r="E19" s="31" t="s">
        <v>64</v>
      </c>
      <c r="F19" s="54" t="s">
        <v>103</v>
      </c>
      <c r="G19" s="54"/>
      <c r="H19" s="54"/>
    </row>
    <row r="20" spans="1:8" x14ac:dyDescent="0.25">
      <c r="A20" s="26" t="s">
        <v>83</v>
      </c>
      <c r="B20" s="27">
        <v>0.29166666666666669</v>
      </c>
      <c r="C20" s="27">
        <v>0.9375</v>
      </c>
      <c r="D20" s="31">
        <v>15.5</v>
      </c>
      <c r="E20" s="31" t="s">
        <v>64</v>
      </c>
      <c r="F20" s="44" t="s">
        <v>85</v>
      </c>
      <c r="G20" s="44"/>
      <c r="H20" s="45"/>
    </row>
    <row r="21" spans="1:8" x14ac:dyDescent="0.25">
      <c r="A21" s="26" t="s">
        <v>87</v>
      </c>
      <c r="B21" s="27">
        <v>0.35416666666666669</v>
      </c>
      <c r="C21" s="27">
        <v>0.79166666666666663</v>
      </c>
      <c r="D21" s="31">
        <v>10.5</v>
      </c>
      <c r="E21" s="31" t="s">
        <v>56</v>
      </c>
      <c r="F21" s="56" t="s">
        <v>88</v>
      </c>
      <c r="G21" s="57"/>
      <c r="H21" s="58"/>
    </row>
    <row r="22" spans="1:8" x14ac:dyDescent="0.25">
      <c r="A22" s="26" t="s">
        <v>93</v>
      </c>
      <c r="B22" s="27">
        <v>0.33333333333333331</v>
      </c>
      <c r="C22" s="27">
        <v>0.75</v>
      </c>
      <c r="D22" s="31">
        <v>10</v>
      </c>
      <c r="E22" s="31" t="s">
        <v>76</v>
      </c>
      <c r="F22" s="56" t="s">
        <v>94</v>
      </c>
      <c r="G22" s="57"/>
      <c r="H22" s="58"/>
    </row>
    <row r="23" spans="1:8" ht="27.75" customHeight="1" x14ac:dyDescent="0.25">
      <c r="A23" s="37" t="s">
        <v>97</v>
      </c>
      <c r="B23" s="27">
        <v>0.29166666666666669</v>
      </c>
      <c r="C23" s="27">
        <v>0.89583333333333337</v>
      </c>
      <c r="D23" s="31">
        <v>14.5</v>
      </c>
      <c r="E23" s="31" t="s">
        <v>59</v>
      </c>
      <c r="F23" s="87" t="s">
        <v>105</v>
      </c>
      <c r="G23" s="88"/>
      <c r="H23" s="90"/>
    </row>
    <row r="24" spans="1:8" x14ac:dyDescent="0.25">
      <c r="A24" s="26" t="s">
        <v>98</v>
      </c>
      <c r="B24" s="27">
        <v>0.33333333333333331</v>
      </c>
      <c r="C24" s="27">
        <v>0.79166666666666663</v>
      </c>
      <c r="D24" s="7">
        <v>11</v>
      </c>
      <c r="E24" s="31" t="s">
        <v>76</v>
      </c>
      <c r="F24" s="54" t="s">
        <v>99</v>
      </c>
      <c r="G24" s="54"/>
      <c r="H24" s="55"/>
    </row>
    <row r="25" spans="1:8" x14ac:dyDescent="0.25">
      <c r="A25" s="26" t="s">
        <v>100</v>
      </c>
      <c r="B25" s="27">
        <v>0.3125</v>
      </c>
      <c r="C25" s="27">
        <v>0.83333333333333337</v>
      </c>
      <c r="D25" s="31">
        <v>12.5</v>
      </c>
      <c r="E25" s="31" t="s">
        <v>59</v>
      </c>
      <c r="F25" s="56" t="s">
        <v>101</v>
      </c>
      <c r="G25" s="57"/>
      <c r="H25" s="58"/>
    </row>
    <row r="26" spans="1:8" x14ac:dyDescent="0.25">
      <c r="A26" s="37"/>
      <c r="B26" s="27"/>
      <c r="C26" s="27"/>
      <c r="D26" s="31"/>
      <c r="E26" s="31"/>
      <c r="F26" s="56"/>
      <c r="G26" s="57"/>
      <c r="H26" s="59"/>
    </row>
    <row r="27" spans="1:8" x14ac:dyDescent="0.25">
      <c r="A27" s="37"/>
      <c r="B27" s="27"/>
      <c r="C27" s="27"/>
      <c r="D27" s="31"/>
      <c r="E27" s="31"/>
      <c r="F27" s="56"/>
      <c r="G27" s="57"/>
      <c r="H27" s="59"/>
    </row>
    <row r="28" spans="1:8" ht="18.75" customHeight="1" x14ac:dyDescent="0.25">
      <c r="A28" s="5" t="s">
        <v>46</v>
      </c>
      <c r="B28" s="9">
        <f>SUM(D17:D28)</f>
        <v>110</v>
      </c>
      <c r="C28" s="15"/>
      <c r="D28" s="7"/>
      <c r="E28" s="16" t="s">
        <v>17</v>
      </c>
      <c r="F28" s="46">
        <f>D29*450</f>
        <v>6187.5</v>
      </c>
      <c r="G28" s="47"/>
      <c r="H28" s="4"/>
    </row>
    <row r="29" spans="1:8" x14ac:dyDescent="0.25">
      <c r="A29" s="14"/>
      <c r="B29" s="7"/>
      <c r="C29" s="17" t="s">
        <v>47</v>
      </c>
      <c r="D29" s="31">
        <f>B28/8</f>
        <v>13.75</v>
      </c>
      <c r="E29" s="7"/>
      <c r="F29" s="7"/>
      <c r="G29" s="7"/>
      <c r="H29" s="4"/>
    </row>
    <row r="30" spans="1:8" x14ac:dyDescent="0.25">
      <c r="A30" s="14"/>
      <c r="B30" s="7"/>
      <c r="C30" s="15"/>
      <c r="D30" s="7"/>
      <c r="E30" s="7"/>
      <c r="F30" s="7"/>
      <c r="G30" s="7"/>
      <c r="H30" s="4"/>
    </row>
    <row r="31" spans="1:8" x14ac:dyDescent="0.25">
      <c r="A31" s="14"/>
      <c r="B31" s="7"/>
      <c r="C31" s="15"/>
      <c r="D31" s="7"/>
      <c r="E31" s="7"/>
      <c r="F31" s="7"/>
      <c r="G31" s="7"/>
      <c r="H31" s="4"/>
    </row>
    <row r="32" spans="1:8" x14ac:dyDescent="0.25">
      <c r="A32" s="5" t="s">
        <v>18</v>
      </c>
      <c r="B32" s="18"/>
      <c r="C32" s="15"/>
      <c r="D32" s="7"/>
      <c r="E32" s="48" t="s">
        <v>20</v>
      </c>
      <c r="F32" s="48"/>
      <c r="G32" s="48"/>
      <c r="H32" s="49"/>
    </row>
    <row r="33" spans="1:8" x14ac:dyDescent="0.25">
      <c r="A33" s="50"/>
      <c r="B33" s="51"/>
      <c r="C33" s="51"/>
      <c r="D33" s="51"/>
      <c r="E33" s="51"/>
      <c r="F33" s="51"/>
      <c r="G33" s="51"/>
      <c r="H33" s="19"/>
    </row>
    <row r="34" spans="1:8" x14ac:dyDescent="0.25">
      <c r="A34" s="52"/>
      <c r="B34" s="53"/>
      <c r="C34" s="53"/>
      <c r="D34" s="53"/>
      <c r="E34" s="53"/>
      <c r="F34" s="53"/>
      <c r="G34" s="53"/>
      <c r="H34" s="20"/>
    </row>
    <row r="35" spans="1:8" x14ac:dyDescent="0.25">
      <c r="A35" s="14"/>
      <c r="B35" s="7"/>
      <c r="C35" s="15"/>
      <c r="D35" s="7"/>
      <c r="E35" s="7"/>
      <c r="F35" s="7"/>
      <c r="G35" s="7"/>
      <c r="H35" s="4"/>
    </row>
    <row r="36" spans="1:8" ht="15.75" thickBot="1" x14ac:dyDescent="0.3">
      <c r="A36" s="6" t="s">
        <v>18</v>
      </c>
      <c r="B36" s="21"/>
      <c r="C36" s="22"/>
      <c r="D36" s="23"/>
      <c r="E36" s="42" t="s">
        <v>19</v>
      </c>
      <c r="F36" s="42"/>
      <c r="G36" s="42"/>
      <c r="H36" s="43"/>
    </row>
  </sheetData>
  <mergeCells count="30">
    <mergeCell ref="F28:G28"/>
    <mergeCell ref="F21:H21"/>
    <mergeCell ref="F22:H22"/>
    <mergeCell ref="F23:H23"/>
    <mergeCell ref="F24:H24"/>
    <mergeCell ref="F26:H26"/>
    <mergeCell ref="F27:H27"/>
    <mergeCell ref="F25:H25"/>
    <mergeCell ref="E9:H9"/>
    <mergeCell ref="F1:H1"/>
    <mergeCell ref="B2:H3"/>
    <mergeCell ref="C5:E5"/>
    <mergeCell ref="E7:H7"/>
    <mergeCell ref="E8:F8"/>
    <mergeCell ref="E32:H32"/>
    <mergeCell ref="A33:G33"/>
    <mergeCell ref="E36:H36"/>
    <mergeCell ref="E11:F11"/>
    <mergeCell ref="E12:F12"/>
    <mergeCell ref="F15:H16"/>
    <mergeCell ref="F17:H17"/>
    <mergeCell ref="F18:H18"/>
    <mergeCell ref="A15:A16"/>
    <mergeCell ref="B15:B16"/>
    <mergeCell ref="C15:C16"/>
    <mergeCell ref="D15:D16"/>
    <mergeCell ref="E15:E16"/>
    <mergeCell ref="F20:H20"/>
    <mergeCell ref="A34:G34"/>
    <mergeCell ref="F19:H19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d.Picture.8" shapeId="16385" r:id="rId3">
          <objectPr defaultSize="0" autoPict="0" r:id="rId4">
            <anchor moveWithCells="1" sizeWithCells="1">
              <from>
                <xdr:col>0</xdr:col>
                <xdr:colOff>76200</xdr:colOff>
                <xdr:row>0</xdr:row>
                <xdr:rowOff>133350</xdr:rowOff>
              </from>
              <to>
                <xdr:col>1</xdr:col>
                <xdr:colOff>0</xdr:colOff>
                <xdr:row>4</xdr:row>
                <xdr:rowOff>209550</xdr:rowOff>
              </to>
            </anchor>
          </objectPr>
        </oleObject>
      </mc:Choice>
      <mc:Fallback>
        <oleObject progId="Word.Picture.8" shapeId="16385" r:id="rId3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workbookViewId="0">
      <selection activeCell="M25" sqref="M25"/>
    </sheetView>
  </sheetViews>
  <sheetFormatPr defaultRowHeight="15" x14ac:dyDescent="0.25"/>
  <cols>
    <col min="1" max="1" width="16.140625" customWidth="1"/>
    <col min="2" max="2" width="11.7109375" customWidth="1"/>
    <col min="3" max="3" width="13.28515625" customWidth="1"/>
    <col min="4" max="4" width="16.140625" customWidth="1"/>
    <col min="5" max="5" width="15" customWidth="1"/>
    <col min="8" max="8" width="54.42578125" customWidth="1"/>
  </cols>
  <sheetData>
    <row r="1" spans="1:8" x14ac:dyDescent="0.25">
      <c r="A1" s="11"/>
      <c r="B1" s="12"/>
      <c r="C1" s="12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7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7"/>
      <c r="D6" s="7"/>
      <c r="E6" s="7"/>
      <c r="F6" s="7"/>
      <c r="G6" s="7"/>
      <c r="H6" s="4"/>
    </row>
    <row r="7" spans="1:8" x14ac:dyDescent="0.25">
      <c r="A7" s="5" t="s">
        <v>2</v>
      </c>
      <c r="B7" s="31">
        <v>138139</v>
      </c>
      <c r="C7" s="7"/>
      <c r="D7" s="16" t="s">
        <v>3</v>
      </c>
      <c r="E7" s="56" t="s">
        <v>31</v>
      </c>
      <c r="F7" s="57"/>
      <c r="G7" s="57"/>
      <c r="H7" s="58"/>
    </row>
    <row r="8" spans="1:8" x14ac:dyDescent="0.25">
      <c r="A8" s="5" t="s">
        <v>4</v>
      </c>
      <c r="B8" s="31" t="s">
        <v>34</v>
      </c>
      <c r="C8" s="7"/>
      <c r="D8" s="16" t="s">
        <v>5</v>
      </c>
      <c r="E8" s="56" t="s">
        <v>6</v>
      </c>
      <c r="F8" s="59"/>
      <c r="G8" s="7"/>
      <c r="H8" s="4"/>
    </row>
    <row r="9" spans="1:8" x14ac:dyDescent="0.25">
      <c r="A9" s="5" t="s">
        <v>8</v>
      </c>
      <c r="B9" s="31" t="s">
        <v>9</v>
      </c>
      <c r="C9" s="7"/>
      <c r="D9" s="16" t="s">
        <v>7</v>
      </c>
      <c r="E9" s="56" t="s">
        <v>21</v>
      </c>
      <c r="F9" s="57"/>
      <c r="G9" s="57"/>
      <c r="H9" s="58"/>
    </row>
    <row r="10" spans="1:8" x14ac:dyDescent="0.25">
      <c r="A10" s="14"/>
      <c r="B10" s="7"/>
      <c r="C10" s="7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473</v>
      </c>
      <c r="C11" s="7"/>
      <c r="D11" s="16" t="s">
        <v>11</v>
      </c>
      <c r="E11" s="56">
        <v>30860</v>
      </c>
      <c r="F11" s="59"/>
      <c r="G11" s="16" t="s">
        <v>12</v>
      </c>
      <c r="H11" s="36">
        <v>15307</v>
      </c>
    </row>
    <row r="12" spans="1:8" x14ac:dyDescent="0.25">
      <c r="A12" s="5" t="s">
        <v>49</v>
      </c>
      <c r="B12" s="31">
        <v>450</v>
      </c>
      <c r="C12" s="7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7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7"/>
      <c r="D14" s="7"/>
      <c r="E14" s="7"/>
      <c r="F14" s="7"/>
      <c r="G14" s="7"/>
      <c r="H14" s="4"/>
    </row>
    <row r="15" spans="1:8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x14ac:dyDescent="0.25">
      <c r="A16" s="61"/>
      <c r="B16" s="61"/>
      <c r="C16" s="63"/>
      <c r="D16" s="69"/>
      <c r="E16" s="70"/>
      <c r="F16" s="67"/>
      <c r="G16" s="68"/>
      <c r="H16" s="69"/>
    </row>
    <row r="17" spans="1:8" ht="15" customHeight="1" x14ac:dyDescent="0.25">
      <c r="A17" s="37" t="s">
        <v>55</v>
      </c>
      <c r="B17" s="27">
        <v>0.35416666666666669</v>
      </c>
      <c r="C17" s="27">
        <v>0.72916666666666663</v>
      </c>
      <c r="D17" s="31">
        <v>9</v>
      </c>
      <c r="E17" s="31" t="s">
        <v>56</v>
      </c>
      <c r="F17" s="54" t="s">
        <v>57</v>
      </c>
      <c r="G17" s="54"/>
      <c r="H17" s="54"/>
    </row>
    <row r="18" spans="1:8" ht="18.75" customHeight="1" x14ac:dyDescent="0.25">
      <c r="A18" s="37" t="s">
        <v>60</v>
      </c>
      <c r="B18" s="27">
        <v>0.35416666666666669</v>
      </c>
      <c r="C18" s="27">
        <v>0.6875</v>
      </c>
      <c r="D18" s="31">
        <v>8</v>
      </c>
      <c r="E18" s="31" t="s">
        <v>56</v>
      </c>
      <c r="F18" s="54" t="s">
        <v>54</v>
      </c>
      <c r="G18" s="54"/>
      <c r="H18" s="54"/>
    </row>
    <row r="19" spans="1:8" x14ac:dyDescent="0.25">
      <c r="A19" s="37" t="s">
        <v>63</v>
      </c>
      <c r="B19" s="27">
        <v>0.33333333333333331</v>
      </c>
      <c r="C19" s="27">
        <v>0.91666666666666663</v>
      </c>
      <c r="D19" s="31">
        <v>16</v>
      </c>
      <c r="E19" s="31" t="s">
        <v>64</v>
      </c>
      <c r="F19" s="54" t="s">
        <v>65</v>
      </c>
      <c r="G19" s="54"/>
      <c r="H19" s="54"/>
    </row>
    <row r="20" spans="1:8" x14ac:dyDescent="0.25">
      <c r="A20" s="37" t="s">
        <v>74</v>
      </c>
      <c r="B20" s="27">
        <v>0.35416666666666669</v>
      </c>
      <c r="C20" s="27">
        <v>0.72916666666666663</v>
      </c>
      <c r="D20" s="31">
        <v>9</v>
      </c>
      <c r="E20" s="31" t="s">
        <v>56</v>
      </c>
      <c r="F20" s="54" t="s">
        <v>75</v>
      </c>
      <c r="G20" s="54"/>
      <c r="H20" s="54"/>
    </row>
    <row r="21" spans="1:8" x14ac:dyDescent="0.25">
      <c r="A21" s="37" t="s">
        <v>78</v>
      </c>
      <c r="B21" s="27">
        <v>0.3125</v>
      </c>
      <c r="C21" s="27">
        <v>0.97916666666666663</v>
      </c>
      <c r="D21" s="31">
        <v>16</v>
      </c>
      <c r="E21" s="31" t="s">
        <v>64</v>
      </c>
      <c r="F21" s="44" t="s">
        <v>79</v>
      </c>
      <c r="G21" s="44"/>
      <c r="H21" s="44"/>
    </row>
    <row r="22" spans="1:8" ht="30.75" customHeight="1" x14ac:dyDescent="0.25">
      <c r="A22" s="31" t="s">
        <v>81</v>
      </c>
      <c r="B22" s="27">
        <v>0.25</v>
      </c>
      <c r="C22" s="27">
        <v>0.9375</v>
      </c>
      <c r="D22" s="31">
        <v>16.5</v>
      </c>
      <c r="E22" s="31" t="s">
        <v>76</v>
      </c>
      <c r="F22" s="54" t="s">
        <v>106</v>
      </c>
      <c r="G22" s="54"/>
      <c r="H22" s="54"/>
    </row>
    <row r="23" spans="1:8" x14ac:dyDescent="0.25">
      <c r="A23" s="37" t="s">
        <v>83</v>
      </c>
      <c r="B23" s="27">
        <v>0.29166666666666669</v>
      </c>
      <c r="C23" s="27">
        <v>0.95833333333333337</v>
      </c>
      <c r="D23" s="31">
        <v>16</v>
      </c>
      <c r="E23" s="31" t="s">
        <v>64</v>
      </c>
      <c r="F23" s="54" t="s">
        <v>84</v>
      </c>
      <c r="G23" s="54"/>
      <c r="H23" s="54"/>
    </row>
    <row r="24" spans="1:8" ht="34.5" customHeight="1" x14ac:dyDescent="0.25">
      <c r="A24" s="37" t="s">
        <v>86</v>
      </c>
      <c r="B24" s="27">
        <v>0.35416666666666669</v>
      </c>
      <c r="C24" s="27">
        <v>0.8125</v>
      </c>
      <c r="D24" s="31">
        <v>11</v>
      </c>
      <c r="E24" s="31" t="s">
        <v>56</v>
      </c>
      <c r="F24" s="54" t="s">
        <v>110</v>
      </c>
      <c r="G24" s="54"/>
      <c r="H24" s="54"/>
    </row>
    <row r="25" spans="1:8" x14ac:dyDescent="0.25">
      <c r="A25" s="37" t="s">
        <v>89</v>
      </c>
      <c r="B25" s="27">
        <v>0.35416666666666669</v>
      </c>
      <c r="C25" s="27">
        <v>0.6875</v>
      </c>
      <c r="D25" s="31">
        <v>8</v>
      </c>
      <c r="E25" s="31" t="s">
        <v>56</v>
      </c>
      <c r="F25" s="44" t="s">
        <v>90</v>
      </c>
      <c r="G25" s="44"/>
      <c r="H25" s="44"/>
    </row>
    <row r="26" spans="1:8" x14ac:dyDescent="0.25">
      <c r="A26" s="41" t="s">
        <v>95</v>
      </c>
      <c r="B26" s="27">
        <v>0.33333333333333331</v>
      </c>
      <c r="C26" s="27">
        <v>0.75</v>
      </c>
      <c r="D26" s="31">
        <v>10</v>
      </c>
      <c r="E26" s="31" t="s">
        <v>76</v>
      </c>
      <c r="F26" s="54" t="s">
        <v>96</v>
      </c>
      <c r="G26" s="54"/>
      <c r="H26" s="55"/>
    </row>
    <row r="27" spans="1:8" x14ac:dyDescent="0.25">
      <c r="A27" s="26" t="s">
        <v>100</v>
      </c>
      <c r="B27" s="27">
        <v>0.3125</v>
      </c>
      <c r="C27" s="27">
        <v>0.83333333333333337</v>
      </c>
      <c r="D27" s="31">
        <v>12.5</v>
      </c>
      <c r="E27" s="31" t="s">
        <v>59</v>
      </c>
      <c r="F27" s="56" t="s">
        <v>101</v>
      </c>
      <c r="G27" s="57"/>
      <c r="H27" s="58"/>
    </row>
    <row r="28" spans="1:8" x14ac:dyDescent="0.25">
      <c r="A28" s="37"/>
      <c r="B28" s="27"/>
      <c r="C28" s="27"/>
      <c r="D28" s="31"/>
      <c r="E28" s="31"/>
      <c r="F28" s="56"/>
      <c r="G28" s="57"/>
      <c r="H28" s="59"/>
    </row>
    <row r="29" spans="1:8" x14ac:dyDescent="0.25">
      <c r="A29" s="37"/>
      <c r="B29" s="27"/>
      <c r="C29" s="27"/>
      <c r="D29" s="31"/>
      <c r="E29" s="31"/>
      <c r="F29" s="56"/>
      <c r="G29" s="57"/>
      <c r="H29" s="59"/>
    </row>
    <row r="30" spans="1:8" x14ac:dyDescent="0.25">
      <c r="A30" s="5" t="s">
        <v>46</v>
      </c>
      <c r="B30" s="9">
        <f>SUM(D17:D29)</f>
        <v>132</v>
      </c>
      <c r="C30" s="15"/>
      <c r="D30" s="7"/>
      <c r="E30" s="16" t="s">
        <v>17</v>
      </c>
      <c r="F30" s="46">
        <f>D31*450</f>
        <v>7425</v>
      </c>
      <c r="G30" s="47"/>
      <c r="H30" s="4"/>
    </row>
    <row r="31" spans="1:8" x14ac:dyDescent="0.25">
      <c r="A31" s="14"/>
      <c r="B31" s="7"/>
      <c r="C31" s="17" t="s">
        <v>47</v>
      </c>
      <c r="D31" s="31">
        <f>B30/8</f>
        <v>16.5</v>
      </c>
      <c r="E31" s="7"/>
      <c r="F31" s="7"/>
      <c r="G31" s="7"/>
      <c r="H31" s="4"/>
    </row>
    <row r="32" spans="1:8" x14ac:dyDescent="0.25">
      <c r="A32" s="14"/>
      <c r="B32" s="7"/>
      <c r="C32" s="15"/>
      <c r="D32" s="7"/>
      <c r="E32" s="7"/>
      <c r="F32" s="7"/>
      <c r="G32" s="7"/>
      <c r="H32" s="4"/>
    </row>
    <row r="33" spans="1:8" x14ac:dyDescent="0.25">
      <c r="A33" s="14"/>
      <c r="B33" s="7"/>
      <c r="C33" s="15"/>
      <c r="D33" s="7"/>
      <c r="E33" s="7"/>
      <c r="F33" s="7"/>
      <c r="G33" s="7"/>
      <c r="H33" s="4"/>
    </row>
    <row r="34" spans="1:8" x14ac:dyDescent="0.25">
      <c r="A34" s="5" t="s">
        <v>18</v>
      </c>
      <c r="B34" s="18"/>
      <c r="C34" s="15"/>
      <c r="D34" s="7"/>
      <c r="E34" s="48" t="s">
        <v>20</v>
      </c>
      <c r="F34" s="48"/>
      <c r="G34" s="48"/>
      <c r="H34" s="49"/>
    </row>
    <row r="35" spans="1:8" x14ac:dyDescent="0.25">
      <c r="A35" s="50"/>
      <c r="B35" s="51"/>
      <c r="C35" s="51"/>
      <c r="D35" s="51"/>
      <c r="E35" s="51"/>
      <c r="F35" s="51"/>
      <c r="G35" s="51"/>
      <c r="H35" s="19"/>
    </row>
    <row r="36" spans="1:8" x14ac:dyDescent="0.25">
      <c r="A36" s="52"/>
      <c r="B36" s="53"/>
      <c r="C36" s="53"/>
      <c r="D36" s="53"/>
      <c r="E36" s="53"/>
      <c r="F36" s="53"/>
      <c r="G36" s="53"/>
      <c r="H36" s="20"/>
    </row>
    <row r="37" spans="1:8" x14ac:dyDescent="0.25">
      <c r="A37" s="14"/>
      <c r="B37" s="7"/>
      <c r="C37" s="15"/>
      <c r="D37" s="7"/>
      <c r="E37" s="7"/>
      <c r="F37" s="7"/>
      <c r="G37" s="7"/>
      <c r="H37" s="4"/>
    </row>
    <row r="38" spans="1:8" ht="15.75" thickBot="1" x14ac:dyDescent="0.3">
      <c r="A38" s="6" t="s">
        <v>18</v>
      </c>
      <c r="B38" s="21"/>
      <c r="C38" s="22"/>
      <c r="D38" s="23"/>
      <c r="E38" s="42" t="s">
        <v>19</v>
      </c>
      <c r="F38" s="42"/>
      <c r="G38" s="42"/>
      <c r="H38" s="43"/>
    </row>
  </sheetData>
  <mergeCells count="32">
    <mergeCell ref="A15:A16"/>
    <mergeCell ref="B15:B16"/>
    <mergeCell ref="C15:C16"/>
    <mergeCell ref="D15:D16"/>
    <mergeCell ref="E15:E16"/>
    <mergeCell ref="E9:H9"/>
    <mergeCell ref="F17:H17"/>
    <mergeCell ref="F1:H1"/>
    <mergeCell ref="B2:H3"/>
    <mergeCell ref="C5:E5"/>
    <mergeCell ref="E7:H7"/>
    <mergeCell ref="E8:F8"/>
    <mergeCell ref="F24:H24"/>
    <mergeCell ref="F26:H26"/>
    <mergeCell ref="F27:H27"/>
    <mergeCell ref="F29:H29"/>
    <mergeCell ref="E11:F11"/>
    <mergeCell ref="E12:F12"/>
    <mergeCell ref="F15:H16"/>
    <mergeCell ref="F18:H18"/>
    <mergeCell ref="F20:H20"/>
    <mergeCell ref="F21:H21"/>
    <mergeCell ref="F22:H22"/>
    <mergeCell ref="F23:H23"/>
    <mergeCell ref="F19:H19"/>
    <mergeCell ref="F28:H28"/>
    <mergeCell ref="F25:H25"/>
    <mergeCell ref="A35:G35"/>
    <mergeCell ref="A36:G36"/>
    <mergeCell ref="E38:H38"/>
    <mergeCell ref="F30:G30"/>
    <mergeCell ref="E34:H34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d.Picture.8" shapeId="17409" r:id="rId3">
          <objectPr defaultSize="0" autoPict="0" r:id="rId4">
            <anchor moveWithCells="1" sizeWithCells="1">
              <from>
                <xdr:col>0</xdr:col>
                <xdr:colOff>76200</xdr:colOff>
                <xdr:row>0</xdr:row>
                <xdr:rowOff>133350</xdr:rowOff>
              </from>
              <to>
                <xdr:col>1</xdr:col>
                <xdr:colOff>0</xdr:colOff>
                <xdr:row>4</xdr:row>
                <xdr:rowOff>209550</xdr:rowOff>
              </to>
            </anchor>
          </objectPr>
        </oleObject>
      </mc:Choice>
      <mc:Fallback>
        <oleObject progId="Word.Picture.8" shapeId="17409" r:id="rId3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tabSelected="1" workbookViewId="0">
      <selection activeCell="F23" sqref="F23:H23"/>
    </sheetView>
  </sheetViews>
  <sheetFormatPr defaultRowHeight="15" x14ac:dyDescent="0.25"/>
  <cols>
    <col min="1" max="1" width="10.85546875" customWidth="1"/>
    <col min="2" max="2" width="14.28515625" customWidth="1"/>
    <col min="3" max="3" width="11.5703125" customWidth="1"/>
    <col min="4" max="4" width="11.28515625" customWidth="1"/>
    <col min="5" max="5" width="18.5703125" customWidth="1"/>
    <col min="8" max="8" width="52.7109375" customWidth="1"/>
  </cols>
  <sheetData>
    <row r="1" spans="1:8" x14ac:dyDescent="0.25">
      <c r="A1" s="11"/>
      <c r="B1" s="12"/>
      <c r="C1" s="12"/>
      <c r="D1" s="12"/>
      <c r="E1" s="12"/>
      <c r="F1" s="74" t="s">
        <v>0</v>
      </c>
      <c r="G1" s="74"/>
      <c r="H1" s="75"/>
    </row>
    <row r="2" spans="1:8" x14ac:dyDescent="0.25">
      <c r="A2" s="14"/>
      <c r="B2" s="76" t="s">
        <v>1</v>
      </c>
      <c r="C2" s="77"/>
      <c r="D2" s="77"/>
      <c r="E2" s="77"/>
      <c r="F2" s="77"/>
      <c r="G2" s="77"/>
      <c r="H2" s="78"/>
    </row>
    <row r="3" spans="1:8" x14ac:dyDescent="0.25">
      <c r="A3" s="14"/>
      <c r="B3" s="79"/>
      <c r="C3" s="80"/>
      <c r="D3" s="80"/>
      <c r="E3" s="80"/>
      <c r="F3" s="80"/>
      <c r="G3" s="80"/>
      <c r="H3" s="81"/>
    </row>
    <row r="4" spans="1:8" x14ac:dyDescent="0.25">
      <c r="A4" s="14"/>
      <c r="B4" s="7"/>
      <c r="C4" s="7"/>
      <c r="D4" s="7"/>
      <c r="E4" s="7"/>
      <c r="F4" s="7"/>
      <c r="G4" s="7"/>
      <c r="H4" s="4"/>
    </row>
    <row r="5" spans="1:8" ht="21" x14ac:dyDescent="0.35">
      <c r="A5" s="14"/>
      <c r="B5" s="7"/>
      <c r="C5" s="82" t="s">
        <v>44</v>
      </c>
      <c r="D5" s="82"/>
      <c r="E5" s="82"/>
      <c r="F5" s="35"/>
      <c r="G5" s="35"/>
      <c r="H5" s="4"/>
    </row>
    <row r="6" spans="1:8" x14ac:dyDescent="0.25">
      <c r="A6" s="14"/>
      <c r="B6" s="7"/>
      <c r="C6" s="7"/>
      <c r="D6" s="7"/>
      <c r="E6" s="7"/>
      <c r="F6" s="7"/>
      <c r="G6" s="7"/>
      <c r="H6" s="4"/>
    </row>
    <row r="7" spans="1:8" x14ac:dyDescent="0.25">
      <c r="A7" s="5" t="s">
        <v>2</v>
      </c>
      <c r="B7" s="31">
        <v>140751</v>
      </c>
      <c r="C7" s="7"/>
      <c r="D7" s="16" t="s">
        <v>3</v>
      </c>
      <c r="E7" s="56" t="s">
        <v>52</v>
      </c>
      <c r="F7" s="57"/>
      <c r="G7" s="57"/>
      <c r="H7" s="58"/>
    </row>
    <row r="8" spans="1:8" x14ac:dyDescent="0.25">
      <c r="A8" s="5" t="s">
        <v>4</v>
      </c>
      <c r="B8" s="31" t="s">
        <v>33</v>
      </c>
      <c r="C8" s="7"/>
      <c r="D8" s="16" t="s">
        <v>5</v>
      </c>
      <c r="E8" s="56" t="s">
        <v>6</v>
      </c>
      <c r="F8" s="59"/>
      <c r="G8" s="7"/>
      <c r="H8" s="4"/>
    </row>
    <row r="9" spans="1:8" x14ac:dyDescent="0.25">
      <c r="A9" s="5" t="s">
        <v>8</v>
      </c>
      <c r="B9" s="31" t="s">
        <v>9</v>
      </c>
      <c r="C9" s="7"/>
      <c r="D9" s="16" t="s">
        <v>7</v>
      </c>
      <c r="E9" s="56" t="s">
        <v>21</v>
      </c>
      <c r="F9" s="57"/>
      <c r="G9" s="57"/>
      <c r="H9" s="58"/>
    </row>
    <row r="10" spans="1:8" x14ac:dyDescent="0.25">
      <c r="A10" s="14"/>
      <c r="B10" s="7"/>
      <c r="C10" s="7"/>
      <c r="D10" s="7"/>
      <c r="E10" s="7"/>
      <c r="F10" s="7"/>
      <c r="G10" s="7"/>
      <c r="H10" s="4"/>
    </row>
    <row r="11" spans="1:8" x14ac:dyDescent="0.25">
      <c r="A11" s="5" t="s">
        <v>10</v>
      </c>
      <c r="B11" s="31">
        <v>473</v>
      </c>
      <c r="C11" s="7"/>
      <c r="D11" s="16" t="s">
        <v>11</v>
      </c>
      <c r="E11" s="56">
        <v>28230</v>
      </c>
      <c r="F11" s="59"/>
      <c r="G11" s="16" t="s">
        <v>12</v>
      </c>
      <c r="H11" s="36">
        <v>14002</v>
      </c>
    </row>
    <row r="12" spans="1:8" x14ac:dyDescent="0.25">
      <c r="A12" s="5" t="s">
        <v>49</v>
      </c>
      <c r="B12" s="31">
        <v>450</v>
      </c>
      <c r="C12" s="7"/>
      <c r="D12" s="16" t="s">
        <v>26</v>
      </c>
      <c r="E12" s="71">
        <v>45658</v>
      </c>
      <c r="F12" s="59"/>
      <c r="G12" s="7"/>
      <c r="H12" s="4"/>
    </row>
    <row r="13" spans="1:8" x14ac:dyDescent="0.25">
      <c r="A13" s="14"/>
      <c r="B13" s="7"/>
      <c r="C13" s="7"/>
      <c r="D13" s="7"/>
      <c r="E13" s="7"/>
      <c r="F13" s="7"/>
      <c r="G13" s="7"/>
      <c r="H13" s="4"/>
    </row>
    <row r="14" spans="1:8" ht="15.75" thickBot="1" x14ac:dyDescent="0.3">
      <c r="A14" s="14"/>
      <c r="B14" s="7"/>
      <c r="C14" s="7"/>
      <c r="D14" s="7"/>
      <c r="E14" s="7"/>
      <c r="F14" s="7"/>
      <c r="G14" s="7"/>
      <c r="H14" s="4"/>
    </row>
    <row r="15" spans="1:8" x14ac:dyDescent="0.25">
      <c r="A15" s="60" t="s">
        <v>16</v>
      </c>
      <c r="B15" s="60" t="s">
        <v>15</v>
      </c>
      <c r="C15" s="62" t="s">
        <v>14</v>
      </c>
      <c r="D15" s="66" t="s">
        <v>48</v>
      </c>
      <c r="E15" s="60" t="s">
        <v>45</v>
      </c>
      <c r="F15" s="64" t="s">
        <v>13</v>
      </c>
      <c r="G15" s="65"/>
      <c r="H15" s="66"/>
    </row>
    <row r="16" spans="1:8" x14ac:dyDescent="0.25">
      <c r="A16" s="61"/>
      <c r="B16" s="61"/>
      <c r="C16" s="63"/>
      <c r="D16" s="69"/>
      <c r="E16" s="70"/>
      <c r="F16" s="67"/>
      <c r="G16" s="68"/>
      <c r="H16" s="69"/>
    </row>
    <row r="17" spans="1:8" ht="15" customHeight="1" x14ac:dyDescent="0.25">
      <c r="A17" s="26" t="s">
        <v>55</v>
      </c>
      <c r="B17" s="27">
        <v>0.35416666666666669</v>
      </c>
      <c r="C17" s="27">
        <v>0.72916666666666663</v>
      </c>
      <c r="D17" s="31">
        <v>9</v>
      </c>
      <c r="E17" s="31" t="s">
        <v>56</v>
      </c>
      <c r="F17" s="54" t="s">
        <v>57</v>
      </c>
      <c r="G17" s="54"/>
      <c r="H17" s="55"/>
    </row>
    <row r="18" spans="1:8" ht="18.75" customHeight="1" x14ac:dyDescent="0.25">
      <c r="A18" s="26" t="s">
        <v>60</v>
      </c>
      <c r="B18" s="27">
        <v>0.35416666666666669</v>
      </c>
      <c r="C18" s="27">
        <v>0.6875</v>
      </c>
      <c r="D18" s="31">
        <v>8</v>
      </c>
      <c r="E18" s="31" t="s">
        <v>56</v>
      </c>
      <c r="F18" s="54" t="s">
        <v>54</v>
      </c>
      <c r="G18" s="54"/>
      <c r="H18" s="55"/>
    </row>
    <row r="19" spans="1:8" ht="31.5" customHeight="1" x14ac:dyDescent="0.25">
      <c r="A19" s="26" t="s">
        <v>63</v>
      </c>
      <c r="B19" s="27">
        <v>0.35416666666666669</v>
      </c>
      <c r="C19" s="28">
        <v>0.6875</v>
      </c>
      <c r="D19" s="31">
        <v>8</v>
      </c>
      <c r="E19" s="31" t="s">
        <v>56</v>
      </c>
      <c r="F19" s="54" t="s">
        <v>66</v>
      </c>
      <c r="G19" s="44"/>
      <c r="H19" s="45"/>
    </row>
    <row r="20" spans="1:8" ht="15.75" customHeight="1" x14ac:dyDescent="0.25">
      <c r="A20" s="26" t="s">
        <v>74</v>
      </c>
      <c r="B20" s="27">
        <v>0.33333333333333331</v>
      </c>
      <c r="C20" s="28">
        <v>0.77083333333333337</v>
      </c>
      <c r="D20" s="31">
        <v>10.5</v>
      </c>
      <c r="E20" s="31" t="s">
        <v>76</v>
      </c>
      <c r="F20" s="44" t="s">
        <v>77</v>
      </c>
      <c r="G20" s="44"/>
      <c r="H20" s="45"/>
    </row>
    <row r="21" spans="1:8" ht="30" customHeight="1" x14ac:dyDescent="0.25">
      <c r="A21" s="8" t="s">
        <v>81</v>
      </c>
      <c r="B21" s="27">
        <v>0.25</v>
      </c>
      <c r="C21" s="27">
        <v>0.9375</v>
      </c>
      <c r="D21" s="31">
        <v>16.5</v>
      </c>
      <c r="E21" s="31" t="s">
        <v>76</v>
      </c>
      <c r="F21" s="54" t="s">
        <v>106</v>
      </c>
      <c r="G21" s="54"/>
      <c r="H21" s="55"/>
    </row>
    <row r="22" spans="1:8" x14ac:dyDescent="0.25">
      <c r="A22" s="26" t="s">
        <v>83</v>
      </c>
      <c r="B22" s="27">
        <v>0.29166666666666669</v>
      </c>
      <c r="C22" s="27">
        <v>0.95833333333333337</v>
      </c>
      <c r="D22" s="31">
        <v>16</v>
      </c>
      <c r="E22" s="31" t="s">
        <v>64</v>
      </c>
      <c r="F22" s="54" t="s">
        <v>84</v>
      </c>
      <c r="G22" s="54"/>
      <c r="H22" s="55"/>
    </row>
    <row r="23" spans="1:8" ht="31.5" customHeight="1" x14ac:dyDescent="0.25">
      <c r="A23" s="26" t="s">
        <v>86</v>
      </c>
      <c r="B23" s="27">
        <v>0.35416666666666669</v>
      </c>
      <c r="C23" s="27">
        <v>0.8125</v>
      </c>
      <c r="D23" s="31">
        <v>11</v>
      </c>
      <c r="E23" s="31" t="s">
        <v>56</v>
      </c>
      <c r="F23" s="87" t="s">
        <v>110</v>
      </c>
      <c r="G23" s="88"/>
      <c r="H23" s="89"/>
    </row>
    <row r="24" spans="1:8" x14ac:dyDescent="0.25">
      <c r="A24" s="37" t="s">
        <v>89</v>
      </c>
      <c r="B24" s="27">
        <v>0.35416666666666669</v>
      </c>
      <c r="C24" s="27">
        <v>0.6875</v>
      </c>
      <c r="D24" s="31">
        <v>8</v>
      </c>
      <c r="E24" s="31" t="s">
        <v>56</v>
      </c>
      <c r="F24" s="56" t="s">
        <v>90</v>
      </c>
      <c r="G24" s="57"/>
      <c r="H24" s="59"/>
    </row>
    <row r="25" spans="1:8" x14ac:dyDescent="0.25">
      <c r="A25" s="26" t="s">
        <v>93</v>
      </c>
      <c r="B25" s="27">
        <v>0.33333333333333331</v>
      </c>
      <c r="C25" s="27">
        <v>0.75</v>
      </c>
      <c r="D25" s="31">
        <v>10</v>
      </c>
      <c r="E25" s="31" t="s">
        <v>76</v>
      </c>
      <c r="F25" s="56" t="s">
        <v>94</v>
      </c>
      <c r="G25" s="57"/>
      <c r="H25" s="58"/>
    </row>
    <row r="26" spans="1:8" x14ac:dyDescent="0.25">
      <c r="A26" s="26"/>
      <c r="B26" s="27"/>
      <c r="C26" s="27"/>
      <c r="D26" s="31"/>
      <c r="E26" s="31"/>
      <c r="F26" s="56"/>
      <c r="G26" s="57"/>
      <c r="H26" s="58"/>
    </row>
    <row r="27" spans="1:8" x14ac:dyDescent="0.25">
      <c r="A27" s="37"/>
      <c r="B27" s="27"/>
      <c r="C27" s="27"/>
      <c r="D27" s="31"/>
      <c r="E27" s="31"/>
      <c r="F27" s="56"/>
      <c r="G27" s="57"/>
      <c r="H27" s="59"/>
    </row>
    <row r="28" spans="1:8" x14ac:dyDescent="0.25">
      <c r="A28" s="5" t="s">
        <v>46</v>
      </c>
      <c r="B28" s="9">
        <f>SUM(D17:D27)</f>
        <v>97</v>
      </c>
      <c r="C28" s="15"/>
      <c r="D28" s="7"/>
      <c r="E28" s="16" t="s">
        <v>17</v>
      </c>
      <c r="F28" s="46">
        <f>D29*450</f>
        <v>5456.25</v>
      </c>
      <c r="G28" s="47"/>
      <c r="H28" s="4"/>
    </row>
    <row r="29" spans="1:8" x14ac:dyDescent="0.25">
      <c r="A29" s="14"/>
      <c r="B29" s="7"/>
      <c r="C29" s="17" t="s">
        <v>47</v>
      </c>
      <c r="D29" s="31">
        <f>B28/8</f>
        <v>12.125</v>
      </c>
      <c r="E29" s="7"/>
      <c r="F29" s="7"/>
      <c r="G29" s="7"/>
      <c r="H29" s="4"/>
    </row>
    <row r="30" spans="1:8" x14ac:dyDescent="0.25">
      <c r="A30" s="14"/>
      <c r="B30" s="7"/>
      <c r="C30" s="15"/>
      <c r="D30" s="7"/>
      <c r="E30" s="7"/>
      <c r="F30" s="7"/>
      <c r="G30" s="7"/>
      <c r="H30" s="4"/>
    </row>
    <row r="31" spans="1:8" x14ac:dyDescent="0.25">
      <c r="A31" s="14"/>
      <c r="B31" s="7"/>
      <c r="C31" s="15"/>
      <c r="D31" s="7"/>
      <c r="E31" s="7"/>
      <c r="F31" s="7"/>
      <c r="G31" s="7"/>
      <c r="H31" s="4"/>
    </row>
    <row r="32" spans="1:8" x14ac:dyDescent="0.25">
      <c r="A32" s="5" t="s">
        <v>18</v>
      </c>
      <c r="B32" s="18"/>
      <c r="C32" s="15"/>
      <c r="D32" s="7"/>
      <c r="E32" s="48" t="s">
        <v>20</v>
      </c>
      <c r="F32" s="48"/>
      <c r="G32" s="48"/>
      <c r="H32" s="49"/>
    </row>
    <row r="33" spans="1:8" x14ac:dyDescent="0.25">
      <c r="A33" s="50"/>
      <c r="B33" s="51"/>
      <c r="C33" s="51"/>
      <c r="D33" s="51"/>
      <c r="E33" s="51"/>
      <c r="F33" s="51"/>
      <c r="G33" s="51"/>
      <c r="H33" s="19"/>
    </row>
    <row r="34" spans="1:8" x14ac:dyDescent="0.25">
      <c r="A34" s="52"/>
      <c r="B34" s="53"/>
      <c r="C34" s="53"/>
      <c r="D34" s="53"/>
      <c r="E34" s="53"/>
      <c r="F34" s="53"/>
      <c r="G34" s="53"/>
      <c r="H34" s="20"/>
    </row>
    <row r="35" spans="1:8" x14ac:dyDescent="0.25">
      <c r="A35" s="14"/>
      <c r="B35" s="7"/>
      <c r="C35" s="15"/>
      <c r="D35" s="7"/>
      <c r="E35" s="7"/>
      <c r="F35" s="7"/>
      <c r="G35" s="7"/>
      <c r="H35" s="4"/>
    </row>
    <row r="36" spans="1:8" ht="15.75" thickBot="1" x14ac:dyDescent="0.3">
      <c r="A36" s="6" t="s">
        <v>18</v>
      </c>
      <c r="B36" s="21"/>
      <c r="C36" s="22"/>
      <c r="D36" s="23"/>
      <c r="E36" s="42" t="s">
        <v>19</v>
      </c>
      <c r="F36" s="42"/>
      <c r="G36" s="42"/>
      <c r="H36" s="43"/>
    </row>
  </sheetData>
  <mergeCells count="30">
    <mergeCell ref="E32:H32"/>
    <mergeCell ref="A33:G33"/>
    <mergeCell ref="A34:G34"/>
    <mergeCell ref="E36:H36"/>
    <mergeCell ref="F26:H26"/>
    <mergeCell ref="F24:H24"/>
    <mergeCell ref="F25:H25"/>
    <mergeCell ref="F28:G28"/>
    <mergeCell ref="F23:H23"/>
    <mergeCell ref="F27:H27"/>
    <mergeCell ref="E11:F11"/>
    <mergeCell ref="E12:F12"/>
    <mergeCell ref="A15:A16"/>
    <mergeCell ref="B15:B16"/>
    <mergeCell ref="C15:C16"/>
    <mergeCell ref="D15:D16"/>
    <mergeCell ref="E15:E16"/>
    <mergeCell ref="F15:H16"/>
    <mergeCell ref="F17:H17"/>
    <mergeCell ref="F19:H19"/>
    <mergeCell ref="F20:H20"/>
    <mergeCell ref="F21:H21"/>
    <mergeCell ref="F22:H22"/>
    <mergeCell ref="F18:H18"/>
    <mergeCell ref="E9:H9"/>
    <mergeCell ref="F1:H1"/>
    <mergeCell ref="B2:H3"/>
    <mergeCell ref="C5:E5"/>
    <mergeCell ref="E7:H7"/>
    <mergeCell ref="E8:F8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d.Picture.8" shapeId="18433" r:id="rId3">
          <objectPr defaultSize="0" autoPict="0" r:id="rId4">
            <anchor moveWithCells="1" sizeWithCells="1">
              <from>
                <xdr:col>0</xdr:col>
                <xdr:colOff>76200</xdr:colOff>
                <xdr:row>0</xdr:row>
                <xdr:rowOff>133350</xdr:rowOff>
              </from>
              <to>
                <xdr:col>1</xdr:col>
                <xdr:colOff>0</xdr:colOff>
                <xdr:row>4</xdr:row>
                <xdr:rowOff>209550</xdr:rowOff>
              </to>
            </anchor>
          </objectPr>
        </oleObject>
      </mc:Choice>
      <mc:Fallback>
        <oleObject progId="Word.Picture.8" shapeId="18433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PPD</vt:lpstr>
      <vt:lpstr>DJB</vt:lpstr>
      <vt:lpstr>SD</vt:lpstr>
      <vt:lpstr>DB</vt:lpstr>
      <vt:lpstr>HR</vt:lpstr>
      <vt:lpstr>YA</vt:lpstr>
      <vt:lpstr>RRK</vt:lpstr>
      <vt:lpstr>SR</vt:lpstr>
      <vt:lpstr>MP</vt:lpstr>
      <vt:lpstr>AB</vt:lpstr>
      <vt:lpstr>RD</vt:lpstr>
      <vt:lpstr>UC</vt:lpstr>
    </vt:vector>
  </TitlesOfParts>
  <Company>ONGC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SINGH RAJPUT-135213</dc:creator>
  <cp:lastModifiedBy>GAJENDRA PRASAD-125148</cp:lastModifiedBy>
  <cp:lastPrinted>2019-11-19T06:41:52Z</cp:lastPrinted>
  <dcterms:created xsi:type="dcterms:W3CDTF">2019-06-26T06:41:49Z</dcterms:created>
  <dcterms:modified xsi:type="dcterms:W3CDTF">2025-02-03T11:14:04Z</dcterms:modified>
</cp:coreProperties>
</file>