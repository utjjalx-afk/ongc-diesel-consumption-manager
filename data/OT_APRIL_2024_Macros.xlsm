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drawings/drawing3.xml" ContentType="application/vnd.openxmlformats-officedocument.drawing+xml"/>
  <Override PartName="/xl/embeddings/oleObject3.bin" ContentType="application/vnd.openxmlformats-officedocument.oleObject"/>
  <Override PartName="/xl/drawings/drawing4.xml" ContentType="application/vnd.openxmlformats-officedocument.drawing+xml"/>
  <Override PartName="/xl/embeddings/oleObject4.bin" ContentType="application/vnd.openxmlformats-officedocument.oleObject"/>
  <Override PartName="/xl/drawings/drawing5.xml" ContentType="application/vnd.openxmlformats-officedocument.drawing+xml"/>
  <Override PartName="/xl/embeddings/oleObject5.bin" ContentType="application/vnd.openxmlformats-officedocument.oleObject"/>
  <Override PartName="/xl/drawings/drawing6.xml" ContentType="application/vnd.openxmlformats-officedocument.drawing+xml"/>
  <Override PartName="/xl/embeddings/oleObject6.bin" ContentType="application/vnd.openxmlformats-officedocument.oleObject"/>
  <Override PartName="/xl/drawings/drawing7.xml" ContentType="application/vnd.openxmlformats-officedocument.drawing+xml"/>
  <Override PartName="/xl/embeddings/oleObject7.bin" ContentType="application/vnd.openxmlformats-officedocument.oleObject"/>
  <Override PartName="/xl/drawings/drawing8.xml" ContentType="application/vnd.openxmlformats-officedocument.drawing+xml"/>
  <Override PartName="/xl/embeddings/oleObject8.bin" ContentType="application/vnd.openxmlformats-officedocument.oleObject"/>
  <Override PartName="/xl/drawings/drawing9.xml" ContentType="application/vnd.openxmlformats-officedocument.drawing+xml"/>
  <Override PartName="/xl/embeddings/oleObject9.bin" ContentType="application/vnd.openxmlformats-officedocument.oleObject"/>
  <Override PartName="/xl/drawings/drawing10.xml" ContentType="application/vnd.openxmlformats-officedocument.drawing+xml"/>
  <Override PartName="/xl/embeddings/oleObject10.bin" ContentType="application/vnd.openxmlformats-officedocument.oleObject"/>
  <Override PartName="/xl/drawings/drawing11.xml" ContentType="application/vnd.openxmlformats-officedocument.drawing+xml"/>
  <Override PartName="/xl/embeddings/oleObject11.bin" ContentType="application/vnd.openxmlformats-officedocument.oleObject"/>
  <Override PartName="/xl/drawings/drawing12.xml" ContentType="application/vnd.openxmlformats-officedocument.drawing+xml"/>
  <Override PartName="/xl/embeddings/oleObject12.bin" ContentType="application/vnd.openxmlformats-officedocument.oleOb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0" yWindow="60" windowWidth="15570" windowHeight="7620" activeTab="11"/>
  </bookViews>
  <sheets>
    <sheet name="PPD" sheetId="2" r:id="rId1"/>
    <sheet name="DJB" sheetId="3" r:id="rId2"/>
    <sheet name="SD" sheetId="4" r:id="rId3"/>
    <sheet name="DB" sheetId="5" r:id="rId4"/>
    <sheet name="HR" sheetId="10" r:id="rId5"/>
    <sheet name="YA" sheetId="11" r:id="rId6"/>
    <sheet name="RRK" sheetId="12" r:id="rId7"/>
    <sheet name="SR" sheetId="13" r:id="rId8"/>
    <sheet name="MP" sheetId="14" r:id="rId9"/>
    <sheet name="AB" sheetId="15" r:id="rId10"/>
    <sheet name="RD" sheetId="16" r:id="rId11"/>
    <sheet name="UC" sheetId="17" r:id="rId12"/>
  </sheets>
  <calcPr calcId="144525"/>
</workbook>
</file>

<file path=xl/calcChain.xml><?xml version="1.0" encoding="utf-8"?>
<calcChain xmlns="http://schemas.openxmlformats.org/spreadsheetml/2006/main">
  <c r="C29" i="17" l="1"/>
  <c r="C26" i="15" l="1"/>
  <c r="C26" i="14" l="1"/>
  <c r="C26" i="12"/>
  <c r="C23" i="4"/>
  <c r="C26" i="16" l="1"/>
  <c r="C27" i="13"/>
  <c r="C23" i="3"/>
  <c r="F26" i="16" l="1"/>
  <c r="C28" i="11" l="1"/>
  <c r="C22" i="5" l="1"/>
  <c r="C26" i="2"/>
  <c r="C26" i="10" l="1"/>
  <c r="F29" i="17" l="1"/>
  <c r="F23" i="3" l="1"/>
  <c r="F26" i="2" l="1"/>
  <c r="F23" i="4" l="1"/>
  <c r="F28" i="11"/>
  <c r="F26" i="14" l="1"/>
  <c r="F22" i="5"/>
  <c r="F26" i="12" l="1"/>
  <c r="F26" i="15" l="1"/>
  <c r="F27" i="13"/>
  <c r="F26" i="10" l="1"/>
</calcChain>
</file>

<file path=xl/sharedStrings.xml><?xml version="1.0" encoding="utf-8"?>
<sst xmlns="http://schemas.openxmlformats.org/spreadsheetml/2006/main" count="587" uniqueCount="99">
  <si>
    <t>Form No. CLM-MIS-02</t>
  </si>
  <si>
    <t>OIL AND NATURAL GAS CORPORATION LTD</t>
  </si>
  <si>
    <t>OVERTIME CLAIM</t>
  </si>
  <si>
    <t>CPF No.</t>
  </si>
  <si>
    <t>Name:</t>
  </si>
  <si>
    <t>Designation:</t>
  </si>
  <si>
    <t>Section/Site :</t>
  </si>
  <si>
    <t>SST</t>
  </si>
  <si>
    <t>Location:</t>
  </si>
  <si>
    <t>Org. Unit:</t>
  </si>
  <si>
    <t>ONGCL</t>
  </si>
  <si>
    <t>Bill No.</t>
  </si>
  <si>
    <t>Basic Pay (Rs.):</t>
  </si>
  <si>
    <t>DA (Rs.):</t>
  </si>
  <si>
    <t>Rate/Hrs. (Rs.):</t>
  </si>
  <si>
    <t>Remarks</t>
  </si>
  <si>
    <t>Total Hrs.</t>
  </si>
  <si>
    <t>Arr. Time</t>
  </si>
  <si>
    <t>Dep. Time</t>
  </si>
  <si>
    <t>Date</t>
  </si>
  <si>
    <t>Total Rs.</t>
  </si>
  <si>
    <t>Date:</t>
  </si>
  <si>
    <t>(Signature of Controlling Officer)</t>
  </si>
  <si>
    <t>(Signature of Employee)</t>
  </si>
  <si>
    <t>* Certified that the OT has been sanctioned by the Competent Authority.</t>
  </si>
  <si>
    <t>* Certified that he did not receive any other remuneration/compensatory off for performance of OT</t>
  </si>
  <si>
    <t>* Certified that the claim is in order as per Mines Act.</t>
  </si>
  <si>
    <t>JORHAT</t>
  </si>
  <si>
    <t>PRATIK PURNA DUTTA</t>
  </si>
  <si>
    <t>DIPJYOTI BORA</t>
  </si>
  <si>
    <t>SUBHASISH DAS</t>
  </si>
  <si>
    <t>DEBAJIT BORA</t>
  </si>
  <si>
    <t>OT</t>
  </si>
  <si>
    <t>Month:</t>
  </si>
  <si>
    <t>Total Hr Worked</t>
  </si>
  <si>
    <t>YUSUF ALI</t>
  </si>
  <si>
    <t>RAJEN RAJKONWAR</t>
  </si>
  <si>
    <t>SAHIDUR ROHMAN</t>
  </si>
  <si>
    <t>RAJESH DAS</t>
  </si>
  <si>
    <t>MANABJYOTI PEGU</t>
  </si>
  <si>
    <t>JMVD(W.O.)</t>
  </si>
  <si>
    <t>JT(FITTING)</t>
  </si>
  <si>
    <t>DY T (FITTING)</t>
  </si>
  <si>
    <t>MVD(WO)</t>
  </si>
  <si>
    <t xml:space="preserve"> </t>
  </si>
  <si>
    <t>HRIDOY RAY</t>
  </si>
  <si>
    <t>ABHIJIT BORAH</t>
  </si>
  <si>
    <t>KHALASHI</t>
  </si>
  <si>
    <t xml:space="preserve"> KHALASHI</t>
  </si>
  <si>
    <t>* Certified that he was request to work for OT, which could not be postponed.</t>
  </si>
  <si>
    <t>UTJJAL CHETIA</t>
  </si>
  <si>
    <t>SEA(M)</t>
  </si>
  <si>
    <t>DY. T (F)</t>
  </si>
  <si>
    <t>Dy. T (F)</t>
  </si>
  <si>
    <t>EA(P)</t>
  </si>
  <si>
    <t>01.04.2024</t>
  </si>
  <si>
    <t>FBHP+CYCLE STUDY AT BREC
(CYCLE TIME 13:30 MINUTES,RECORDED 7 GI AND SKIPPED 4 GI)</t>
  </si>
  <si>
    <t>WINCH 7845 SHIFTED FROM DP#01 TO BR#51</t>
  </si>
  <si>
    <t>02.04.2024</t>
  </si>
  <si>
    <t>F/C AND C/S LOADING AT C/S AND CASING PIPE LOADING AT JRT-1</t>
  </si>
  <si>
    <t>FBHP+CYCLE STUDY AT BR#62
(CYCLE TIME 27.00 MINUTES,RECORDED 5 GI AND SKIPPED 5 GI)</t>
  </si>
  <si>
    <t>1.WINCH SHIFTED FROM KH GGS 2 TO KH#23Z
2.OBSTRUCTION FOUND AT 971 AT KH#23Z</t>
  </si>
  <si>
    <t>03.04.2024</t>
  </si>
  <si>
    <t>13 3/8'' CASING PIPE LOADING AND DESPATCHED TO RIG-24</t>
  </si>
  <si>
    <t>04.04.2024</t>
  </si>
  <si>
    <t>FBHP+CYCLE STUDY AT BR#46</t>
  </si>
  <si>
    <t>1.WINCH SHIFTED FROM KH#23Z TO KH#43
2.SBHP AT KH#23Z</t>
  </si>
  <si>
    <t>05.04.2024</t>
  </si>
  <si>
    <t>FBHP+CYCLE STUDY AT BR#46
(CYCLE TIME 54 MINUTES,RECORDED 2 GI AND SKIPPED 1 GI)</t>
  </si>
  <si>
    <t>06.04.2024
(SATURDAY)</t>
  </si>
  <si>
    <t>1.WINCH SHIFTED FROM BR#46 TO KP#02Z
2.FBHP AT KP#02Z</t>
  </si>
  <si>
    <t>08.04.2024</t>
  </si>
  <si>
    <t>1.WINCH SHIFTED FROM KP#02Z TO BR#68
2.FBHP+CYCLE STUDY AT BR#68
(CYCLE TIME 54 MINUTES,RECORDED 2 GI AND SKIPPED 1 GI)</t>
  </si>
  <si>
    <t>09.04.2024</t>
  </si>
  <si>
    <t>CASING PIPE LOADING AT JRT-1</t>
  </si>
  <si>
    <t>10.04.2024</t>
  </si>
  <si>
    <t>1.ECHOMETER STUDY AT MRDB
2.OIL SAMPLE COLLECTED FROM BORHOLLA WELLS</t>
  </si>
  <si>
    <t>7845 WINCH MAINTENANCE</t>
  </si>
  <si>
    <t>11.04.2024</t>
  </si>
  <si>
    <t>FBHP+CYCLE STUDY AT BR#60
(CYCLE TIME 27 MINUTES, RECORDED 4 GI AND SKIPPED 2 GI)</t>
  </si>
  <si>
    <t>16.04.2024</t>
  </si>
  <si>
    <t>17.04.2024</t>
  </si>
  <si>
    <t>F/C AND C/S DESPATCHED TO RIG-9,RIG-10 AND RIG-24</t>
  </si>
  <si>
    <t>18.04.2024</t>
  </si>
  <si>
    <t>22.04.2024</t>
  </si>
  <si>
    <t>FBHP+CYCLE STUDY AT BR#47Y
(CYCLE TIME 27 MINUTES,RECORDED 3 GI AND SKIPPED 2 GI)</t>
  </si>
  <si>
    <t>23.04.2024</t>
  </si>
  <si>
    <t>X-MASS TREE RECEIVED AND TRANSFERRED TO RIG-24 AND RIG-9</t>
  </si>
  <si>
    <t>1.WINCH SHIFTED FROM BASE OFFICE TO SU#01Z
2.FBHP AT SU#01Z</t>
  </si>
  <si>
    <t>24.04.2024</t>
  </si>
  <si>
    <t>1.WINCH SHIFTED FROM KH#18A TO KH#26
2.FBHP+CYCLE STUDY AT KH#26
(CYCLE TIME 60 MINUTES,RECORDED 3 GI AND SKIPPED 1 GI)</t>
  </si>
  <si>
    <t>25.04.2024</t>
  </si>
  <si>
    <t>FBHP AT KH#43</t>
  </si>
  <si>
    <t>26.04.2024</t>
  </si>
  <si>
    <t>FBHP AT SU#01Z</t>
  </si>
  <si>
    <t>1.WINCH SHIFTED FROM BR#47Y TO MRDB
2.LUBRICATOR SHIFTED FROM SU#01Z
3.24 HRS INFLUX STUDY AT MRDB</t>
  </si>
  <si>
    <t>29.04.2024</t>
  </si>
  <si>
    <t>30.04.2024</t>
  </si>
  <si>
    <t>INFLUX STUDY CONTINUE AT MRDB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</si>
</sst>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;@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0" fillId="0" borderId="1" xfId="0" applyBorder="1"/>
    <xf numFmtId="0" fontId="1" fillId="0" borderId="0" xfId="0" applyFont="1" applyFill="1" applyBorder="1"/>
    <xf numFmtId="0" fontId="0" fillId="0" borderId="18" xfId="0" applyBorder="1"/>
    <xf numFmtId="0" fontId="0" fillId="0" borderId="0" xfId="0" applyBorder="1"/>
    <xf numFmtId="164" fontId="0" fillId="0" borderId="0" xfId="0" applyNumberFormat="1"/>
    <xf numFmtId="164" fontId="0" fillId="0" borderId="0" xfId="0" applyNumberFormat="1" applyBorder="1"/>
    <xf numFmtId="165" fontId="0" fillId="0" borderId="1" xfId="0" applyNumberFormat="1" applyBorder="1"/>
    <xf numFmtId="0" fontId="0" fillId="0" borderId="0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164" fontId="0" fillId="0" borderId="12" xfId="0" applyNumberFormat="1" applyBorder="1"/>
    <xf numFmtId="0" fontId="0" fillId="0" borderId="17" xfId="0" applyBorder="1"/>
    <xf numFmtId="0" fontId="0" fillId="0" borderId="10" xfId="0" applyBorder="1"/>
    <xf numFmtId="0" fontId="3" fillId="0" borderId="0" xfId="0" applyFont="1" applyBorder="1" applyAlignment="1"/>
    <xf numFmtId="0" fontId="1" fillId="0" borderId="17" xfId="0" applyFont="1" applyBorder="1"/>
    <xf numFmtId="0" fontId="1" fillId="0" borderId="0" xfId="0" applyFont="1" applyBorder="1"/>
    <xf numFmtId="0" fontId="1" fillId="0" borderId="17" xfId="0" applyFont="1" applyFill="1" applyBorder="1"/>
    <xf numFmtId="0" fontId="0" fillId="0" borderId="10" xfId="0" applyBorder="1" applyAlignment="1">
      <alignment horizontal="center"/>
    </xf>
    <xf numFmtId="0" fontId="0" fillId="0" borderId="10" xfId="0" applyBorder="1" applyAlignment="1"/>
    <xf numFmtId="0" fontId="1" fillId="0" borderId="17" xfId="0" applyFont="1" applyBorder="1" applyAlignment="1">
      <alignment horizontal="center"/>
    </xf>
    <xf numFmtId="0" fontId="4" fillId="0" borderId="23" xfId="0" applyFont="1" applyBorder="1"/>
    <xf numFmtId="0" fontId="4" fillId="0" borderId="10" xfId="0" applyFont="1" applyBorder="1"/>
    <xf numFmtId="164" fontId="4" fillId="0" borderId="0" xfId="0" applyNumberFormat="1" applyFont="1" applyBorder="1" applyAlignment="1"/>
    <xf numFmtId="0" fontId="1" fillId="0" borderId="14" xfId="0" applyFont="1" applyBorder="1" applyAlignment="1">
      <alignment horizontal="center"/>
    </xf>
    <xf numFmtId="0" fontId="0" fillId="0" borderId="20" xfId="0" applyBorder="1"/>
    <xf numFmtId="164" fontId="0" fillId="0" borderId="15" xfId="0" applyNumberFormat="1" applyBorder="1"/>
    <xf numFmtId="0" fontId="0" fillId="0" borderId="15" xfId="0" applyBorder="1"/>
    <xf numFmtId="0" fontId="1" fillId="0" borderId="1" xfId="0" applyFont="1" applyBorder="1"/>
    <xf numFmtId="20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0" fontId="4" fillId="0" borderId="17" xfId="0" applyFont="1" applyBorder="1" applyAlignment="1"/>
    <xf numFmtId="0" fontId="4" fillId="0" borderId="0" xfId="0" applyFont="1" applyBorder="1" applyAlignment="1"/>
    <xf numFmtId="0" fontId="0" fillId="0" borderId="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19" xfId="0" applyBorder="1" applyAlignment="1"/>
    <xf numFmtId="0" fontId="4" fillId="0" borderId="17" xfId="0" applyFont="1" applyBorder="1" applyAlignment="1"/>
    <xf numFmtId="0" fontId="4" fillId="0" borderId="0" xfId="0" applyFont="1" applyBorder="1" applyAlignment="1"/>
    <xf numFmtId="0" fontId="0" fillId="0" borderId="1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1" xfId="0" applyBorder="1" applyAlignment="1">
      <alignment horizontal="right" vertical="center"/>
    </xf>
    <xf numFmtId="0" fontId="0" fillId="0" borderId="17" xfId="0" applyBorder="1" applyAlignment="1">
      <alignment horizontal="right" vertical="center"/>
    </xf>
    <xf numFmtId="0" fontId="1" fillId="0" borderId="17" xfId="0" applyFont="1" applyBorder="1" applyAlignment="1">
      <alignment horizontal="right" vertical="center"/>
    </xf>
    <xf numFmtId="0" fontId="1" fillId="0" borderId="17" xfId="0" applyFont="1" applyFill="1" applyBorder="1" applyAlignment="1">
      <alignment horizontal="right" vertical="center"/>
    </xf>
    <xf numFmtId="0" fontId="4" fillId="0" borderId="17" xfId="0" applyFont="1" applyBorder="1" applyAlignment="1">
      <alignment horizontal="right" vertical="center"/>
    </xf>
    <xf numFmtId="0" fontId="1" fillId="0" borderId="14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4" fontId="0" fillId="0" borderId="1" xfId="0" applyNumberFormat="1" applyBorder="1" applyAlignment="1">
      <alignment horizontal="center"/>
    </xf>
    <xf numFmtId="165" fontId="0" fillId="0" borderId="29" xfId="0" applyNumberFormat="1" applyBorder="1"/>
    <xf numFmtId="0" fontId="4" fillId="0" borderId="17" xfId="0" applyFont="1" applyBorder="1" applyAlignment="1"/>
    <xf numFmtId="0" fontId="4" fillId="0" borderId="0" xfId="0" applyFont="1" applyBorder="1" applyAlignment="1"/>
    <xf numFmtId="0" fontId="0" fillId="0" borderId="19" xfId="0" applyBorder="1" applyAlignment="1">
      <alignment horizontal="center"/>
    </xf>
    <xf numFmtId="14" fontId="0" fillId="0" borderId="1" xfId="0" applyNumberForma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wrapText="1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17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1" fillId="0" borderId="3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28" xfId="0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4" fillId="0" borderId="22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7" xfId="0" applyFont="1" applyBorder="1" applyAlignment="1"/>
    <xf numFmtId="0" fontId="4" fillId="0" borderId="0" xfId="0" applyFont="1" applyBorder="1" applyAlignment="1"/>
    <xf numFmtId="0" fontId="0" fillId="0" borderId="2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1" fillId="0" borderId="9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wrapText="1"/>
    </xf>
    <xf numFmtId="0" fontId="1" fillId="0" borderId="27" xfId="0" applyFont="1" applyBorder="1" applyAlignment="1">
      <alignment horizontal="center" wrapText="1"/>
    </xf>
    <xf numFmtId="164" fontId="1" fillId="0" borderId="9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9" xfId="0" applyFont="1" applyBorder="1" applyAlignment="1">
      <alignment horizontal="right" vertical="center"/>
    </xf>
    <xf numFmtId="0" fontId="1" fillId="0" borderId="27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0</xdr:rowOff>
        </xdr:from>
        <xdr:to>
          <xdr:col>1</xdr:col>
          <xdr:colOff>0</xdr:colOff>
          <xdr:row>5</xdr:row>
          <xdr:rowOff>28575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133350</xdr:rowOff>
        </xdr:from>
        <xdr:to>
          <xdr:col>1</xdr:col>
          <xdr:colOff>0</xdr:colOff>
          <xdr:row>4</xdr:row>
          <xdr:rowOff>209550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133350</xdr:rowOff>
        </xdr:from>
        <xdr:to>
          <xdr:col>1</xdr:col>
          <xdr:colOff>0</xdr:colOff>
          <xdr:row>4</xdr:row>
          <xdr:rowOff>209550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133350</xdr:rowOff>
        </xdr:from>
        <xdr:to>
          <xdr:col>1</xdr:col>
          <xdr:colOff>0</xdr:colOff>
          <xdr:row>4</xdr:row>
          <xdr:rowOff>209550</xdr:rowOff>
        </xdr:to>
        <xdr:sp macro="" textlink="">
          <xdr:nvSpPr>
            <xdr:cNvPr id="5121" name="Object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133350</xdr:rowOff>
        </xdr:from>
        <xdr:to>
          <xdr:col>1</xdr:col>
          <xdr:colOff>0</xdr:colOff>
          <xdr:row>4</xdr:row>
          <xdr:rowOff>104775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133350</xdr:rowOff>
        </xdr:from>
        <xdr:to>
          <xdr:col>1</xdr:col>
          <xdr:colOff>0</xdr:colOff>
          <xdr:row>4</xdr:row>
          <xdr:rowOff>104775</xdr:rowOff>
        </xdr:to>
        <xdr:sp macro="" textlink="">
          <xdr:nvSpPr>
            <xdr:cNvPr id="12289" name="Object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133350</xdr:rowOff>
        </xdr:from>
        <xdr:to>
          <xdr:col>1</xdr:col>
          <xdr:colOff>0</xdr:colOff>
          <xdr:row>4</xdr:row>
          <xdr:rowOff>104775</xdr:rowOff>
        </xdr:to>
        <xdr:sp macro="" textlink="">
          <xdr:nvSpPr>
            <xdr:cNvPr id="13313" name="Object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133350</xdr:rowOff>
        </xdr:from>
        <xdr:to>
          <xdr:col>1</xdr:col>
          <xdr:colOff>0</xdr:colOff>
          <xdr:row>4</xdr:row>
          <xdr:rowOff>104775</xdr:rowOff>
        </xdr:to>
        <xdr:sp macro="" textlink="">
          <xdr:nvSpPr>
            <xdr:cNvPr id="14337" name="Object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133350</xdr:rowOff>
        </xdr:from>
        <xdr:to>
          <xdr:col>1</xdr:col>
          <xdr:colOff>0</xdr:colOff>
          <xdr:row>4</xdr:row>
          <xdr:rowOff>209550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133350</xdr:rowOff>
        </xdr:from>
        <xdr:to>
          <xdr:col>1</xdr:col>
          <xdr:colOff>0</xdr:colOff>
          <xdr:row>4</xdr:row>
          <xdr:rowOff>209550</xdr:rowOff>
        </xdr:to>
        <xdr:sp macro="" textlink="">
          <xdr:nvSpPr>
            <xdr:cNvPr id="16385" name="Object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133350</xdr:rowOff>
        </xdr:from>
        <xdr:to>
          <xdr:col>1</xdr:col>
          <xdr:colOff>0</xdr:colOff>
          <xdr:row>4</xdr:row>
          <xdr:rowOff>209550</xdr:rowOff>
        </xdr:to>
        <xdr:sp macro="" textlink="">
          <xdr:nvSpPr>
            <xdr:cNvPr id="17409" name="Object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133350</xdr:rowOff>
        </xdr:from>
        <xdr:to>
          <xdr:col>1</xdr:col>
          <xdr:colOff>0</xdr:colOff>
          <xdr:row>4</xdr:row>
          <xdr:rowOff>209550</xdr:rowOff>
        </xdr:to>
        <xdr:sp macro="" textlink="">
          <xdr:nvSpPr>
            <xdr:cNvPr id="18433" name="Object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w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wmf"/><Relationship Id="rId4" Type="http://schemas.openxmlformats.org/officeDocument/2006/relationships/oleObject" Target="../embeddings/oleObject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wmf"/><Relationship Id="rId4" Type="http://schemas.openxmlformats.org/officeDocument/2006/relationships/oleObject" Target="../embeddings/oleObject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wmf"/><Relationship Id="rId4" Type="http://schemas.openxmlformats.org/officeDocument/2006/relationships/oleObject" Target="../embeddings/oleObject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5.bin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6.bin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7.bin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2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8.bin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9.bin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1.w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0.bin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1.w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1.bin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1.w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2.bin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1.w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37"/>
  <sheetViews>
    <sheetView topLeftCell="A11" zoomScaleNormal="100" workbookViewId="0">
      <selection activeCell="I19" sqref="I19"/>
    </sheetView>
  </sheetViews>
  <sheetFormatPr defaultRowHeight="15" x14ac:dyDescent="0.25"/>
  <cols>
    <col min="1" max="1" width="13.5703125" customWidth="1"/>
    <col min="2" max="2" width="11.42578125" customWidth="1"/>
    <col min="3" max="3" width="10.28515625" style="5" customWidth="1"/>
    <col min="4" max="4" width="13" customWidth="1"/>
    <col min="5" max="5" width="10" customWidth="1"/>
    <col min="8" max="8" width="61.85546875" customWidth="1"/>
  </cols>
  <sheetData>
    <row r="1" spans="1:8" x14ac:dyDescent="0.25">
      <c r="A1" s="9"/>
      <c r="B1" s="10"/>
      <c r="C1" s="11"/>
      <c r="D1" s="10"/>
      <c r="E1" s="10"/>
      <c r="F1" s="83" t="s">
        <v>0</v>
      </c>
      <c r="G1" s="83"/>
      <c r="H1" s="84"/>
    </row>
    <row r="2" spans="1:8" x14ac:dyDescent="0.25">
      <c r="A2" s="12"/>
      <c r="B2" s="85" t="s">
        <v>1</v>
      </c>
      <c r="C2" s="86"/>
      <c r="D2" s="86"/>
      <c r="E2" s="86"/>
      <c r="F2" s="86"/>
      <c r="G2" s="86"/>
      <c r="H2" s="87"/>
    </row>
    <row r="3" spans="1:8" x14ac:dyDescent="0.25">
      <c r="A3" s="12"/>
      <c r="B3" s="88"/>
      <c r="C3" s="89"/>
      <c r="D3" s="89"/>
      <c r="E3" s="89"/>
      <c r="F3" s="89"/>
      <c r="G3" s="89"/>
      <c r="H3" s="90"/>
    </row>
    <row r="4" spans="1:8" x14ac:dyDescent="0.25">
      <c r="A4" s="12"/>
      <c r="B4" s="4"/>
      <c r="C4" s="6"/>
      <c r="D4" s="4"/>
      <c r="E4" s="4"/>
      <c r="F4" s="4"/>
      <c r="G4" s="4"/>
      <c r="H4" s="13"/>
    </row>
    <row r="5" spans="1:8" ht="18.75" x14ac:dyDescent="0.3">
      <c r="A5" s="12"/>
      <c r="B5" s="4"/>
      <c r="C5" s="91" t="s">
        <v>2</v>
      </c>
      <c r="D5" s="91"/>
      <c r="E5" s="91"/>
      <c r="F5" s="14"/>
      <c r="G5" s="14"/>
      <c r="H5" s="13"/>
    </row>
    <row r="6" spans="1:8" x14ac:dyDescent="0.25">
      <c r="A6" s="12"/>
      <c r="B6" s="4"/>
      <c r="C6" s="6"/>
      <c r="D6" s="4"/>
      <c r="E6" s="4"/>
      <c r="F6" s="4"/>
      <c r="G6" s="4"/>
      <c r="H6" s="13"/>
    </row>
    <row r="7" spans="1:8" x14ac:dyDescent="0.25">
      <c r="A7" s="15" t="s">
        <v>3</v>
      </c>
      <c r="B7" s="43">
        <v>128584</v>
      </c>
      <c r="C7" s="6"/>
      <c r="D7" s="16" t="s">
        <v>4</v>
      </c>
      <c r="E7" s="78" t="s">
        <v>28</v>
      </c>
      <c r="F7" s="81"/>
      <c r="G7" s="81"/>
      <c r="H7" s="82"/>
    </row>
    <row r="8" spans="1:8" x14ac:dyDescent="0.25">
      <c r="A8" s="15" t="s">
        <v>5</v>
      </c>
      <c r="B8" s="43" t="s">
        <v>42</v>
      </c>
      <c r="C8" s="6"/>
      <c r="D8" s="16" t="s">
        <v>6</v>
      </c>
      <c r="E8" s="78" t="s">
        <v>7</v>
      </c>
      <c r="F8" s="79"/>
      <c r="G8" s="4"/>
      <c r="H8" s="13"/>
    </row>
    <row r="9" spans="1:8" x14ac:dyDescent="0.25">
      <c r="A9" s="15" t="s">
        <v>9</v>
      </c>
      <c r="B9" s="43" t="s">
        <v>10</v>
      </c>
      <c r="C9" s="6"/>
      <c r="D9" s="16" t="s">
        <v>8</v>
      </c>
      <c r="E9" s="78" t="s">
        <v>27</v>
      </c>
      <c r="F9" s="81"/>
      <c r="G9" s="81"/>
      <c r="H9" s="82"/>
    </row>
    <row r="10" spans="1:8" x14ac:dyDescent="0.25">
      <c r="A10" s="12"/>
      <c r="B10" s="4"/>
      <c r="C10" s="6"/>
      <c r="D10" s="4"/>
      <c r="E10" s="4"/>
      <c r="F10" s="4"/>
      <c r="G10" s="4"/>
      <c r="H10" s="13"/>
    </row>
    <row r="11" spans="1:8" x14ac:dyDescent="0.25">
      <c r="A11" s="17" t="s">
        <v>11</v>
      </c>
      <c r="B11" s="43">
        <v>473</v>
      </c>
      <c r="C11" s="6"/>
      <c r="D11" s="2" t="s">
        <v>12</v>
      </c>
      <c r="E11" s="78">
        <v>37360</v>
      </c>
      <c r="F11" s="79"/>
      <c r="G11" s="16" t="s">
        <v>13</v>
      </c>
      <c r="H11" s="44">
        <v>16326</v>
      </c>
    </row>
    <row r="12" spans="1:8" x14ac:dyDescent="0.25">
      <c r="A12" s="17" t="s">
        <v>14</v>
      </c>
      <c r="B12" s="43">
        <v>516</v>
      </c>
      <c r="C12" s="6"/>
      <c r="D12" s="2" t="s">
        <v>33</v>
      </c>
      <c r="E12" s="80">
        <v>45383</v>
      </c>
      <c r="F12" s="79"/>
      <c r="G12" s="4"/>
      <c r="H12" s="13"/>
    </row>
    <row r="13" spans="1:8" x14ac:dyDescent="0.25">
      <c r="A13" s="12"/>
      <c r="B13" s="4"/>
      <c r="C13" s="6"/>
      <c r="D13" s="4"/>
      <c r="E13" s="4"/>
      <c r="F13" s="4"/>
      <c r="G13" s="4"/>
      <c r="H13" s="13"/>
    </row>
    <row r="14" spans="1:8" x14ac:dyDescent="0.25">
      <c r="A14" s="12"/>
      <c r="B14" s="4"/>
      <c r="C14" s="6"/>
      <c r="D14" s="4"/>
      <c r="E14" s="4"/>
      <c r="F14" s="4"/>
      <c r="G14" s="4"/>
      <c r="H14" s="13"/>
    </row>
    <row r="15" spans="1:8" x14ac:dyDescent="0.25">
      <c r="A15" s="92" t="s">
        <v>19</v>
      </c>
      <c r="B15" s="93" t="s">
        <v>18</v>
      </c>
      <c r="C15" s="94" t="s">
        <v>17</v>
      </c>
      <c r="D15" s="93" t="s">
        <v>16</v>
      </c>
      <c r="E15" s="93" t="s">
        <v>32</v>
      </c>
      <c r="F15" s="93" t="s">
        <v>15</v>
      </c>
      <c r="G15" s="93"/>
      <c r="H15" s="95"/>
    </row>
    <row r="16" spans="1:8" ht="18.75" customHeight="1" x14ac:dyDescent="0.25">
      <c r="A16" s="92"/>
      <c r="B16" s="93"/>
      <c r="C16" s="94"/>
      <c r="D16" s="93"/>
      <c r="E16" s="93"/>
      <c r="F16" s="93"/>
      <c r="G16" s="93"/>
      <c r="H16" s="95"/>
    </row>
    <row r="17" spans="1:10" ht="32.25" customHeight="1" x14ac:dyDescent="0.25">
      <c r="A17" s="52" t="s">
        <v>58</v>
      </c>
      <c r="B17" s="29">
        <v>0.35416666666666669</v>
      </c>
      <c r="C17" s="30">
        <v>0.79166666666666663</v>
      </c>
      <c r="D17" s="29">
        <v>0.4375</v>
      </c>
      <c r="E17" s="59">
        <v>2.5</v>
      </c>
      <c r="F17" s="77" t="s">
        <v>60</v>
      </c>
      <c r="G17" s="77"/>
      <c r="H17" s="77"/>
    </row>
    <row r="18" spans="1:10" ht="30.75" customHeight="1" x14ac:dyDescent="0.25">
      <c r="A18" s="57" t="s">
        <v>67</v>
      </c>
      <c r="B18" s="29">
        <v>0.35416666666666669</v>
      </c>
      <c r="C18" s="30">
        <v>0.72916666666666663</v>
      </c>
      <c r="D18" s="29">
        <v>0.375</v>
      </c>
      <c r="E18" s="59">
        <v>1</v>
      </c>
      <c r="F18" s="77" t="s">
        <v>68</v>
      </c>
      <c r="G18" s="101"/>
      <c r="H18" s="101"/>
    </row>
    <row r="19" spans="1:10" ht="35.25" customHeight="1" x14ac:dyDescent="0.25">
      <c r="A19" s="57" t="s">
        <v>69</v>
      </c>
      <c r="B19" s="29">
        <v>0.5</v>
      </c>
      <c r="C19" s="30">
        <v>0.875</v>
      </c>
      <c r="D19" s="29">
        <v>0.375</v>
      </c>
      <c r="E19" s="73">
        <v>8</v>
      </c>
      <c r="F19" s="77" t="s">
        <v>70</v>
      </c>
      <c r="G19" s="101"/>
      <c r="H19" s="101"/>
    </row>
    <row r="20" spans="1:10" ht="33" customHeight="1" x14ac:dyDescent="0.25">
      <c r="A20" s="52" t="s">
        <v>75</v>
      </c>
      <c r="B20" s="29">
        <v>0.35416666666666669</v>
      </c>
      <c r="C20" s="30">
        <v>0.75</v>
      </c>
      <c r="D20" s="29">
        <v>0.39583333333333331</v>
      </c>
      <c r="E20" s="69">
        <v>1.5</v>
      </c>
      <c r="F20" s="77" t="s">
        <v>76</v>
      </c>
      <c r="G20" s="77"/>
      <c r="H20" s="77"/>
    </row>
    <row r="21" spans="1:10" ht="33" customHeight="1" x14ac:dyDescent="0.25">
      <c r="A21" s="57" t="s">
        <v>78</v>
      </c>
      <c r="B21" s="29">
        <v>0.35416666666666669</v>
      </c>
      <c r="C21" s="30">
        <v>0.72916666666666663</v>
      </c>
      <c r="D21" s="29">
        <v>0.39583333333333331</v>
      </c>
      <c r="E21" s="59">
        <v>1</v>
      </c>
      <c r="F21" s="77" t="s">
        <v>79</v>
      </c>
      <c r="G21" s="101"/>
      <c r="H21" s="101"/>
    </row>
    <row r="22" spans="1:10" ht="29.25" customHeight="1" x14ac:dyDescent="0.25">
      <c r="A22" s="57" t="s">
        <v>86</v>
      </c>
      <c r="B22" s="29">
        <v>0.33333333333333331</v>
      </c>
      <c r="C22" s="30">
        <v>0.83333333333333337</v>
      </c>
      <c r="D22" s="29">
        <v>0.5</v>
      </c>
      <c r="E22" s="75">
        <v>3.5</v>
      </c>
      <c r="F22" s="77" t="s">
        <v>88</v>
      </c>
      <c r="G22" s="77"/>
      <c r="H22" s="77"/>
    </row>
    <row r="23" spans="1:10" ht="19.5" customHeight="1" x14ac:dyDescent="0.25">
      <c r="A23" s="57" t="s">
        <v>93</v>
      </c>
      <c r="B23" s="29">
        <v>0.35416666666666669</v>
      </c>
      <c r="C23" s="30">
        <v>0.77083333333333337</v>
      </c>
      <c r="D23" s="29">
        <v>0.41666666666666669</v>
      </c>
      <c r="E23" s="60">
        <v>2</v>
      </c>
      <c r="F23" s="77" t="s">
        <v>94</v>
      </c>
      <c r="G23" s="77"/>
      <c r="H23" s="77"/>
    </row>
    <row r="24" spans="1:10" ht="20.25" customHeight="1" x14ac:dyDescent="0.25">
      <c r="A24" s="57" t="s">
        <v>97</v>
      </c>
      <c r="B24" s="29">
        <v>0.35416666666666669</v>
      </c>
      <c r="C24" s="30">
        <v>0.77083333333333337</v>
      </c>
      <c r="D24" s="29">
        <v>0.41666666666666669</v>
      </c>
      <c r="E24" s="76">
        <v>2</v>
      </c>
      <c r="F24" s="77" t="s">
        <v>98</v>
      </c>
      <c r="G24" s="77"/>
      <c r="H24" s="77"/>
    </row>
    <row r="25" spans="1:10" ht="20.25" customHeight="1" x14ac:dyDescent="0.25">
      <c r="A25" s="57"/>
      <c r="B25" s="29"/>
      <c r="C25" s="30"/>
      <c r="D25" s="29"/>
      <c r="E25" s="76"/>
      <c r="F25" s="96"/>
      <c r="G25" s="97"/>
      <c r="H25" s="98"/>
    </row>
    <row r="26" spans="1:10" x14ac:dyDescent="0.25">
      <c r="A26" s="31"/>
      <c r="B26" s="32" t="s">
        <v>16</v>
      </c>
      <c r="C26" s="34">
        <f>SUM(E17:E24)</f>
        <v>21.5</v>
      </c>
      <c r="D26" s="8"/>
      <c r="E26" s="32" t="s">
        <v>20</v>
      </c>
      <c r="F26" s="102">
        <f>B12*C26</f>
        <v>11094</v>
      </c>
      <c r="G26" s="103"/>
      <c r="H26" s="18"/>
    </row>
    <row r="27" spans="1:10" x14ac:dyDescent="0.25">
      <c r="A27" s="12"/>
      <c r="B27" s="4"/>
      <c r="C27" s="6"/>
      <c r="D27" s="4"/>
      <c r="E27" s="4"/>
      <c r="F27" s="4"/>
      <c r="G27" s="4"/>
      <c r="H27" s="13"/>
    </row>
    <row r="28" spans="1:10" x14ac:dyDescent="0.25">
      <c r="A28" s="12"/>
      <c r="B28" s="4"/>
      <c r="C28" s="6"/>
      <c r="D28" s="4"/>
      <c r="E28" s="4"/>
      <c r="F28" s="4"/>
      <c r="G28" s="4"/>
      <c r="H28" s="13"/>
    </row>
    <row r="29" spans="1:10" x14ac:dyDescent="0.25">
      <c r="A29" s="12"/>
      <c r="B29" s="4"/>
      <c r="C29" s="6"/>
      <c r="D29" s="4"/>
      <c r="E29" s="4"/>
      <c r="F29" s="4"/>
      <c r="G29" s="4"/>
      <c r="H29" s="13"/>
      <c r="J29" t="s">
        <v>44</v>
      </c>
    </row>
    <row r="30" spans="1:10" x14ac:dyDescent="0.25">
      <c r="A30" s="20" t="s">
        <v>21</v>
      </c>
      <c r="B30" s="3"/>
      <c r="C30" s="6"/>
      <c r="D30" s="4"/>
      <c r="E30" s="104" t="s">
        <v>23</v>
      </c>
      <c r="F30" s="104"/>
      <c r="G30" s="104"/>
      <c r="H30" s="105"/>
    </row>
    <row r="31" spans="1:10" x14ac:dyDescent="0.25">
      <c r="A31" s="106" t="s">
        <v>49</v>
      </c>
      <c r="B31" s="107"/>
      <c r="C31" s="107"/>
      <c r="D31" s="107"/>
      <c r="E31" s="107"/>
      <c r="F31" s="107"/>
      <c r="G31" s="107"/>
      <c r="H31" s="21"/>
    </row>
    <row r="32" spans="1:10" x14ac:dyDescent="0.25">
      <c r="A32" s="108" t="s">
        <v>24</v>
      </c>
      <c r="B32" s="109"/>
      <c r="C32" s="109"/>
      <c r="D32" s="109"/>
      <c r="E32" s="109"/>
      <c r="F32" s="109"/>
      <c r="G32" s="109"/>
      <c r="H32" s="22"/>
    </row>
    <row r="33" spans="1:8" x14ac:dyDescent="0.25">
      <c r="A33" s="41" t="s">
        <v>25</v>
      </c>
      <c r="B33" s="42"/>
      <c r="C33" s="23"/>
      <c r="D33" s="42"/>
      <c r="E33" s="42"/>
      <c r="F33" s="42"/>
      <c r="G33" s="42"/>
      <c r="H33" s="22"/>
    </row>
    <row r="34" spans="1:8" x14ac:dyDescent="0.25">
      <c r="A34" s="108" t="s">
        <v>26</v>
      </c>
      <c r="B34" s="109"/>
      <c r="C34" s="109"/>
      <c r="D34" s="109"/>
      <c r="E34" s="109"/>
      <c r="F34" s="109"/>
      <c r="G34" s="109"/>
      <c r="H34" s="22"/>
    </row>
    <row r="35" spans="1:8" x14ac:dyDescent="0.25">
      <c r="A35" s="12"/>
      <c r="B35" s="4"/>
      <c r="C35" s="6"/>
      <c r="D35" s="4"/>
      <c r="E35" s="4"/>
      <c r="F35" s="4"/>
      <c r="G35" s="4"/>
      <c r="H35" s="13"/>
    </row>
    <row r="36" spans="1:8" x14ac:dyDescent="0.25">
      <c r="A36" s="12"/>
      <c r="B36" s="4"/>
      <c r="C36" s="6"/>
      <c r="D36" s="4"/>
      <c r="E36" s="4"/>
      <c r="F36" s="4"/>
      <c r="G36" s="4"/>
      <c r="H36" s="13"/>
    </row>
    <row r="37" spans="1:8" ht="15.75" thickBot="1" x14ac:dyDescent="0.3">
      <c r="A37" s="24" t="s">
        <v>21</v>
      </c>
      <c r="B37" s="25"/>
      <c r="C37" s="26"/>
      <c r="D37" s="27"/>
      <c r="E37" s="99" t="s">
        <v>22</v>
      </c>
      <c r="F37" s="99"/>
      <c r="G37" s="99"/>
      <c r="H37" s="100"/>
    </row>
  </sheetData>
  <mergeCells count="29">
    <mergeCell ref="F24:H24"/>
    <mergeCell ref="E37:H37"/>
    <mergeCell ref="F18:H18"/>
    <mergeCell ref="F26:G26"/>
    <mergeCell ref="E30:H30"/>
    <mergeCell ref="A31:G31"/>
    <mergeCell ref="A32:G32"/>
    <mergeCell ref="A34:G34"/>
    <mergeCell ref="F20:H20"/>
    <mergeCell ref="F19:H19"/>
    <mergeCell ref="F21:H21"/>
    <mergeCell ref="F22:H22"/>
    <mergeCell ref="F23:H23"/>
    <mergeCell ref="F25:H25"/>
    <mergeCell ref="A15:A16"/>
    <mergeCell ref="B15:B16"/>
    <mergeCell ref="C15:C16"/>
    <mergeCell ref="F15:H16"/>
    <mergeCell ref="D15:D16"/>
    <mergeCell ref="E15:E16"/>
    <mergeCell ref="F17:H17"/>
    <mergeCell ref="E11:F11"/>
    <mergeCell ref="E12:F12"/>
    <mergeCell ref="E9:H9"/>
    <mergeCell ref="F1:H1"/>
    <mergeCell ref="B2:H3"/>
    <mergeCell ref="C5:E5"/>
    <mergeCell ref="E7:H7"/>
    <mergeCell ref="E8:F8"/>
  </mergeCells>
  <pageMargins left="0.7" right="0.7" top="0.75" bottom="0.75" header="0.3" footer="0.3"/>
  <pageSetup paperSize="9" scale="94" orientation="portrait" verticalDpi="598" r:id="rId1"/>
  <drawing r:id="rId2"/>
  <legacyDrawing r:id="rId3"/>
  <oleObjects>
    <mc:AlternateContent xmlns:mc="http://schemas.openxmlformats.org/markup-compatibility/2006">
      <mc:Choice Requires="x14">
        <oleObject progId="Word.Picture.8" shapeId="2049" r:id="rId4">
          <objectPr defaultSize="0" autoPict="0" r:id="rId5">
            <anchor moveWithCells="1" sizeWithCells="1">
              <from>
                <xdr:col>0</xdr:col>
                <xdr:colOff>133350</xdr:colOff>
                <xdr:row>1</xdr:row>
                <xdr:rowOff>0</xdr:rowOff>
              </from>
              <to>
                <xdr:col>1</xdr:col>
                <xdr:colOff>0</xdr:colOff>
                <xdr:row>5</xdr:row>
                <xdr:rowOff>28575</xdr:rowOff>
              </to>
            </anchor>
          </objectPr>
        </oleObject>
      </mc:Choice>
      <mc:Fallback>
        <oleObject progId="Word.Picture.8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4"/>
  <sheetViews>
    <sheetView topLeftCell="A6" zoomScaleNormal="100" workbookViewId="0">
      <selection activeCell="J18" sqref="J18"/>
    </sheetView>
  </sheetViews>
  <sheetFormatPr defaultRowHeight="15" x14ac:dyDescent="0.25"/>
  <cols>
    <col min="1" max="1" width="14.140625" customWidth="1"/>
    <col min="3" max="3" width="11.28515625" customWidth="1"/>
    <col min="4" max="4" width="9.7109375" customWidth="1"/>
    <col min="7" max="7" width="17.7109375" customWidth="1"/>
    <col min="8" max="8" width="49.28515625" customWidth="1"/>
    <col min="11" max="11" width="9.140625" customWidth="1"/>
    <col min="15" max="15" width="9.140625" customWidth="1"/>
  </cols>
  <sheetData>
    <row r="1" spans="1:8" x14ac:dyDescent="0.25">
      <c r="A1" s="9"/>
      <c r="B1" s="10"/>
      <c r="C1" s="10"/>
      <c r="D1" s="10"/>
      <c r="E1" s="10"/>
      <c r="F1" s="83" t="s">
        <v>0</v>
      </c>
      <c r="G1" s="83"/>
      <c r="H1" s="84"/>
    </row>
    <row r="2" spans="1:8" x14ac:dyDescent="0.25">
      <c r="A2" s="12"/>
      <c r="B2" s="85" t="s">
        <v>1</v>
      </c>
      <c r="C2" s="86"/>
      <c r="D2" s="86"/>
      <c r="E2" s="86"/>
      <c r="F2" s="86"/>
      <c r="G2" s="86"/>
      <c r="H2" s="87"/>
    </row>
    <row r="3" spans="1:8" x14ac:dyDescent="0.25">
      <c r="A3" s="12"/>
      <c r="B3" s="88"/>
      <c r="C3" s="89"/>
      <c r="D3" s="89"/>
      <c r="E3" s="89"/>
      <c r="F3" s="89"/>
      <c r="G3" s="89"/>
      <c r="H3" s="90"/>
    </row>
    <row r="4" spans="1:8" x14ac:dyDescent="0.25">
      <c r="A4" s="12"/>
      <c r="B4" s="4"/>
      <c r="C4" s="4"/>
      <c r="D4" s="4"/>
      <c r="E4" s="4"/>
      <c r="F4" s="4"/>
      <c r="G4" s="4"/>
      <c r="H4" s="13"/>
    </row>
    <row r="5" spans="1:8" ht="18.75" x14ac:dyDescent="0.3">
      <c r="A5" s="12"/>
      <c r="B5" s="4"/>
      <c r="C5" s="91" t="s">
        <v>2</v>
      </c>
      <c r="D5" s="91"/>
      <c r="E5" s="91"/>
      <c r="F5" s="14"/>
      <c r="G5" s="14"/>
      <c r="H5" s="13"/>
    </row>
    <row r="6" spans="1:8" x14ac:dyDescent="0.25">
      <c r="A6" s="12"/>
      <c r="B6" s="4"/>
      <c r="C6" s="4"/>
      <c r="D6" s="4"/>
      <c r="E6" s="4"/>
      <c r="F6" s="4"/>
      <c r="G6" s="4"/>
      <c r="H6" s="13"/>
    </row>
    <row r="7" spans="1:8" x14ac:dyDescent="0.25">
      <c r="A7" s="15" t="s">
        <v>3</v>
      </c>
      <c r="B7" s="37">
        <v>128787</v>
      </c>
      <c r="C7" s="4"/>
      <c r="D7" s="16" t="s">
        <v>4</v>
      </c>
      <c r="E7" s="78" t="s">
        <v>29</v>
      </c>
      <c r="F7" s="81"/>
      <c r="G7" s="81"/>
      <c r="H7" s="82"/>
    </row>
    <row r="8" spans="1:8" x14ac:dyDescent="0.25">
      <c r="A8" s="15" t="s">
        <v>5</v>
      </c>
      <c r="B8" s="37" t="s">
        <v>51</v>
      </c>
      <c r="C8" s="4"/>
      <c r="D8" s="16" t="s">
        <v>6</v>
      </c>
      <c r="E8" s="78" t="s">
        <v>7</v>
      </c>
      <c r="F8" s="79"/>
      <c r="G8" s="4"/>
      <c r="H8" s="13"/>
    </row>
    <row r="9" spans="1:8" x14ac:dyDescent="0.25">
      <c r="A9" s="15" t="s">
        <v>9</v>
      </c>
      <c r="B9" s="37" t="s">
        <v>10</v>
      </c>
      <c r="C9" s="4"/>
      <c r="D9" s="16" t="s">
        <v>8</v>
      </c>
      <c r="E9" s="78" t="s">
        <v>27</v>
      </c>
      <c r="F9" s="81"/>
      <c r="G9" s="81"/>
      <c r="H9" s="82"/>
    </row>
    <row r="10" spans="1:8" x14ac:dyDescent="0.25">
      <c r="A10" s="12"/>
      <c r="B10" s="4"/>
      <c r="C10" s="4"/>
      <c r="D10" s="4"/>
      <c r="E10" s="4"/>
      <c r="F10" s="4"/>
      <c r="G10" s="4"/>
      <c r="H10" s="13"/>
    </row>
    <row r="11" spans="1:8" x14ac:dyDescent="0.25">
      <c r="A11" s="17" t="s">
        <v>11</v>
      </c>
      <c r="B11" s="37">
        <v>473</v>
      </c>
      <c r="C11" s="4"/>
      <c r="D11" s="2" t="s">
        <v>12</v>
      </c>
      <c r="E11" s="78">
        <v>41990</v>
      </c>
      <c r="F11" s="79"/>
      <c r="G11" s="16" t="s">
        <v>13</v>
      </c>
      <c r="H11" s="33">
        <v>18350</v>
      </c>
    </row>
    <row r="12" spans="1:8" x14ac:dyDescent="0.25">
      <c r="A12" s="17" t="s">
        <v>14</v>
      </c>
      <c r="B12" s="37">
        <v>580</v>
      </c>
      <c r="C12" s="4"/>
      <c r="D12" s="2" t="s">
        <v>33</v>
      </c>
      <c r="E12" s="80">
        <v>45383</v>
      </c>
      <c r="F12" s="79"/>
      <c r="G12" s="4"/>
      <c r="H12" s="13"/>
    </row>
    <row r="13" spans="1:8" x14ac:dyDescent="0.25">
      <c r="A13" s="12"/>
      <c r="B13" s="4"/>
      <c r="C13" s="4"/>
      <c r="D13" s="4"/>
      <c r="E13" s="4"/>
      <c r="F13" s="4"/>
      <c r="G13" s="4"/>
      <c r="H13" s="13"/>
    </row>
    <row r="14" spans="1:8" x14ac:dyDescent="0.25">
      <c r="A14" s="12"/>
      <c r="B14" s="4"/>
      <c r="C14" s="4"/>
      <c r="D14" s="4"/>
      <c r="E14" s="4"/>
      <c r="F14" s="4"/>
      <c r="G14" s="4"/>
      <c r="H14" s="13"/>
    </row>
    <row r="15" spans="1:8" x14ac:dyDescent="0.25">
      <c r="A15" s="92" t="s">
        <v>19</v>
      </c>
      <c r="B15" s="93" t="s">
        <v>18</v>
      </c>
      <c r="C15" s="93" t="s">
        <v>17</v>
      </c>
      <c r="D15" s="93" t="s">
        <v>16</v>
      </c>
      <c r="E15" s="93" t="s">
        <v>32</v>
      </c>
      <c r="F15" s="93" t="s">
        <v>15</v>
      </c>
      <c r="G15" s="93"/>
      <c r="H15" s="95"/>
    </row>
    <row r="16" spans="1:8" x14ac:dyDescent="0.25">
      <c r="A16" s="92"/>
      <c r="B16" s="93"/>
      <c r="C16" s="93"/>
      <c r="D16" s="93"/>
      <c r="E16" s="93"/>
      <c r="F16" s="93"/>
      <c r="G16" s="93"/>
      <c r="H16" s="95"/>
    </row>
    <row r="17" spans="1:8" ht="37.5" customHeight="1" x14ac:dyDescent="0.25">
      <c r="A17" s="52" t="s">
        <v>55</v>
      </c>
      <c r="B17" s="29">
        <v>0.35416666666666669</v>
      </c>
      <c r="C17" s="30">
        <v>0.79166666666666663</v>
      </c>
      <c r="D17" s="29">
        <v>0.4375</v>
      </c>
      <c r="E17" s="66">
        <v>2.5</v>
      </c>
      <c r="F17" s="77" t="s">
        <v>56</v>
      </c>
      <c r="G17" s="77"/>
      <c r="H17" s="77"/>
    </row>
    <row r="18" spans="1:8" ht="30.75" customHeight="1" x14ac:dyDescent="0.25">
      <c r="A18" s="57" t="s">
        <v>58</v>
      </c>
      <c r="B18" s="29">
        <v>0.3125</v>
      </c>
      <c r="C18" s="30">
        <v>0.8125</v>
      </c>
      <c r="D18" s="29">
        <v>0.5</v>
      </c>
      <c r="E18" s="58">
        <v>3.5</v>
      </c>
      <c r="F18" s="77" t="s">
        <v>61</v>
      </c>
      <c r="G18" s="101"/>
      <c r="H18" s="101"/>
    </row>
    <row r="19" spans="1:8" ht="35.25" customHeight="1" x14ac:dyDescent="0.25">
      <c r="A19" s="52" t="s">
        <v>64</v>
      </c>
      <c r="B19" s="29">
        <v>0.3125</v>
      </c>
      <c r="C19" s="30">
        <v>0.875</v>
      </c>
      <c r="D19" s="29">
        <v>0.5625</v>
      </c>
      <c r="E19" s="58">
        <v>5</v>
      </c>
      <c r="F19" s="77" t="s">
        <v>66</v>
      </c>
      <c r="G19" s="77"/>
      <c r="H19" s="77"/>
    </row>
    <row r="20" spans="1:8" ht="29.25" customHeight="1" x14ac:dyDescent="0.25">
      <c r="A20" s="57" t="s">
        <v>86</v>
      </c>
      <c r="B20" s="29">
        <v>0.33333333333333331</v>
      </c>
      <c r="C20" s="30">
        <v>0.83333333333333337</v>
      </c>
      <c r="D20" s="29">
        <v>0.5</v>
      </c>
      <c r="E20" s="58">
        <v>3.5</v>
      </c>
      <c r="F20" s="77" t="s">
        <v>88</v>
      </c>
      <c r="G20" s="77"/>
      <c r="H20" s="77"/>
    </row>
    <row r="21" spans="1:8" ht="17.25" customHeight="1" x14ac:dyDescent="0.25">
      <c r="A21" s="57" t="s">
        <v>91</v>
      </c>
      <c r="B21" s="29">
        <v>0.3125</v>
      </c>
      <c r="C21" s="30">
        <v>0.83333333333333337</v>
      </c>
      <c r="D21" s="29">
        <v>0.52083333333333337</v>
      </c>
      <c r="E21" s="58">
        <v>4</v>
      </c>
      <c r="F21" s="77" t="s">
        <v>92</v>
      </c>
      <c r="G21" s="77"/>
      <c r="H21" s="77"/>
    </row>
    <row r="22" spans="1:8" ht="18.75" customHeight="1" x14ac:dyDescent="0.25">
      <c r="A22" s="57"/>
      <c r="B22" s="29"/>
      <c r="C22" s="30"/>
      <c r="D22" s="29"/>
      <c r="E22" s="58"/>
      <c r="F22" s="77"/>
      <c r="G22" s="77"/>
      <c r="H22" s="77"/>
    </row>
    <row r="23" spans="1:8" x14ac:dyDescent="0.25">
      <c r="A23" s="12"/>
      <c r="B23" s="16" t="s">
        <v>16</v>
      </c>
      <c r="C23" s="53">
        <f>SUM(E17:E22)</f>
        <v>18.5</v>
      </c>
      <c r="D23" s="4"/>
      <c r="E23" s="16" t="s">
        <v>20</v>
      </c>
      <c r="F23" s="102">
        <f>B12*C23</f>
        <v>10730</v>
      </c>
      <c r="G23" s="103"/>
      <c r="H23" s="19"/>
    </row>
    <row r="24" spans="1:8" x14ac:dyDescent="0.25">
      <c r="A24" s="12"/>
      <c r="B24" s="4"/>
      <c r="C24" s="4"/>
      <c r="D24" s="4"/>
      <c r="E24" s="4"/>
      <c r="F24" s="4"/>
      <c r="G24" s="4"/>
      <c r="H24" s="13"/>
    </row>
    <row r="25" spans="1:8" x14ac:dyDescent="0.25">
      <c r="A25" s="12"/>
      <c r="B25" s="4"/>
      <c r="C25" s="4"/>
      <c r="D25" s="4"/>
      <c r="E25" s="4"/>
      <c r="F25" s="4"/>
      <c r="G25" s="4"/>
      <c r="H25" s="13"/>
    </row>
    <row r="26" spans="1:8" x14ac:dyDescent="0.25">
      <c r="A26" s="12"/>
      <c r="B26" s="4"/>
      <c r="C26" s="4"/>
      <c r="D26" s="4"/>
      <c r="E26" s="4"/>
      <c r="F26" s="4"/>
      <c r="G26" s="4"/>
      <c r="H26" s="13"/>
    </row>
    <row r="27" spans="1:8" x14ac:dyDescent="0.25">
      <c r="A27" s="20" t="s">
        <v>21</v>
      </c>
      <c r="B27" s="3"/>
      <c r="C27" s="4"/>
      <c r="D27" s="4"/>
      <c r="E27" s="104" t="s">
        <v>23</v>
      </c>
      <c r="F27" s="104"/>
      <c r="G27" s="104"/>
      <c r="H27" s="105"/>
    </row>
    <row r="28" spans="1:8" x14ac:dyDescent="0.25">
      <c r="A28" s="106" t="s">
        <v>49</v>
      </c>
      <c r="B28" s="107"/>
      <c r="C28" s="107"/>
      <c r="D28" s="107"/>
      <c r="E28" s="107"/>
      <c r="F28" s="107"/>
      <c r="G28" s="107"/>
      <c r="H28" s="21"/>
    </row>
    <row r="29" spans="1:8" x14ac:dyDescent="0.25">
      <c r="A29" s="108" t="s">
        <v>24</v>
      </c>
      <c r="B29" s="109"/>
      <c r="C29" s="109"/>
      <c r="D29" s="109"/>
      <c r="E29" s="109"/>
      <c r="F29" s="109"/>
      <c r="G29" s="109"/>
      <c r="H29" s="22"/>
    </row>
    <row r="30" spans="1:8" x14ac:dyDescent="0.25">
      <c r="A30" s="35" t="s">
        <v>25</v>
      </c>
      <c r="B30" s="36"/>
      <c r="C30" s="36"/>
      <c r="D30" s="36"/>
      <c r="E30" s="36"/>
      <c r="F30" s="36"/>
      <c r="G30" s="36"/>
      <c r="H30" s="22"/>
    </row>
    <row r="31" spans="1:8" x14ac:dyDescent="0.25">
      <c r="A31" s="108" t="s">
        <v>26</v>
      </c>
      <c r="B31" s="109"/>
      <c r="C31" s="109"/>
      <c r="D31" s="109"/>
      <c r="E31" s="109"/>
      <c r="F31" s="109"/>
      <c r="G31" s="109"/>
      <c r="H31" s="22"/>
    </row>
    <row r="32" spans="1:8" x14ac:dyDescent="0.25">
      <c r="A32" s="12"/>
      <c r="B32" s="4"/>
      <c r="C32" s="4"/>
      <c r="D32" s="4"/>
      <c r="E32" s="4"/>
      <c r="F32" s="4"/>
      <c r="G32" s="4"/>
      <c r="H32" s="13"/>
    </row>
    <row r="33" spans="1:8" x14ac:dyDescent="0.25">
      <c r="A33" s="12"/>
      <c r="B33" s="4"/>
      <c r="C33" s="4"/>
      <c r="D33" s="4"/>
      <c r="E33" s="4"/>
      <c r="F33" s="4"/>
      <c r="G33" s="4"/>
      <c r="H33" s="13"/>
    </row>
    <row r="34" spans="1:8" ht="15.75" thickBot="1" x14ac:dyDescent="0.3">
      <c r="A34" s="24" t="s">
        <v>21</v>
      </c>
      <c r="B34" s="25"/>
      <c r="C34" s="27"/>
      <c r="D34" s="27"/>
      <c r="E34" s="99" t="s">
        <v>22</v>
      </c>
      <c r="F34" s="99"/>
      <c r="G34" s="99"/>
      <c r="H34" s="100"/>
    </row>
  </sheetData>
  <mergeCells count="26">
    <mergeCell ref="E34:H34"/>
    <mergeCell ref="F23:G23"/>
    <mergeCell ref="E27:H27"/>
    <mergeCell ref="A28:G28"/>
    <mergeCell ref="A29:G29"/>
    <mergeCell ref="A15:A16"/>
    <mergeCell ref="B15:B16"/>
    <mergeCell ref="C15:C16"/>
    <mergeCell ref="F15:H16"/>
    <mergeCell ref="A31:G31"/>
    <mergeCell ref="F17:H17"/>
    <mergeCell ref="F18:H18"/>
    <mergeCell ref="D15:D16"/>
    <mergeCell ref="E15:E16"/>
    <mergeCell ref="F19:H19"/>
    <mergeCell ref="F20:H20"/>
    <mergeCell ref="F21:H21"/>
    <mergeCell ref="F22:H22"/>
    <mergeCell ref="E9:H9"/>
    <mergeCell ref="E11:F11"/>
    <mergeCell ref="E12:F12"/>
    <mergeCell ref="F1:H1"/>
    <mergeCell ref="B2:H3"/>
    <mergeCell ref="C5:E5"/>
    <mergeCell ref="E7:H7"/>
    <mergeCell ref="E8:F8"/>
  </mergeCells>
  <pageMargins left="0.7" right="0.7" top="0.75" bottom="0.75" header="0.3" footer="0.3"/>
  <pageSetup paperSize="9" scale="88" orientation="portrait" verticalDpi="598" r:id="rId1"/>
  <drawing r:id="rId2"/>
  <legacyDrawing r:id="rId3"/>
  <oleObjects>
    <mc:AlternateContent xmlns:mc="http://schemas.openxmlformats.org/markup-compatibility/2006">
      <mc:Choice Requires="x14">
        <oleObject progId="Word.Picture.8" shapeId="3073" r:id="rId4">
          <objectPr defaultSize="0" autoPict="0" r:id="rId5">
            <anchor moveWithCells="1" sizeWithCells="1">
              <from>
                <xdr:col>0</xdr:col>
                <xdr:colOff>76200</xdr:colOff>
                <xdr:row>0</xdr:row>
                <xdr:rowOff>133350</xdr:rowOff>
              </from>
              <to>
                <xdr:col>1</xdr:col>
                <xdr:colOff>0</xdr:colOff>
                <xdr:row>4</xdr:row>
                <xdr:rowOff>209550</xdr:rowOff>
              </to>
            </anchor>
          </objectPr>
        </oleObject>
      </mc:Choice>
      <mc:Fallback>
        <oleObject progId="Word.Picture.8" shapeId="3073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4"/>
  <sheetViews>
    <sheetView topLeftCell="A10" zoomScaleNormal="100" zoomScaleSheetLayoutView="40" workbookViewId="0">
      <selection activeCell="M13" sqref="M13"/>
    </sheetView>
  </sheetViews>
  <sheetFormatPr defaultRowHeight="15" x14ac:dyDescent="0.25"/>
  <cols>
    <col min="1" max="1" width="12" customWidth="1"/>
    <col min="2" max="2" width="9.7109375" customWidth="1"/>
    <col min="3" max="3" width="8.85546875" customWidth="1"/>
    <col min="4" max="4" width="11.28515625" customWidth="1"/>
    <col min="5" max="5" width="7.7109375" customWidth="1"/>
    <col min="8" max="8" width="59" customWidth="1"/>
    <col min="12" max="12" width="9.140625" customWidth="1"/>
  </cols>
  <sheetData>
    <row r="1" spans="1:8" x14ac:dyDescent="0.25">
      <c r="A1" s="9"/>
      <c r="B1" s="10"/>
      <c r="C1" s="10"/>
      <c r="D1" s="10"/>
      <c r="E1" s="10"/>
      <c r="F1" s="83" t="s">
        <v>0</v>
      </c>
      <c r="G1" s="83"/>
      <c r="H1" s="84"/>
    </row>
    <row r="2" spans="1:8" x14ac:dyDescent="0.25">
      <c r="A2" s="12"/>
      <c r="B2" s="85" t="s">
        <v>1</v>
      </c>
      <c r="C2" s="86"/>
      <c r="D2" s="86"/>
      <c r="E2" s="86"/>
      <c r="F2" s="86"/>
      <c r="G2" s="86"/>
      <c r="H2" s="87"/>
    </row>
    <row r="3" spans="1:8" x14ac:dyDescent="0.25">
      <c r="A3" s="12"/>
      <c r="B3" s="88"/>
      <c r="C3" s="89"/>
      <c r="D3" s="89"/>
      <c r="E3" s="89"/>
      <c r="F3" s="89"/>
      <c r="G3" s="89"/>
      <c r="H3" s="90"/>
    </row>
    <row r="4" spans="1:8" x14ac:dyDescent="0.25">
      <c r="A4" s="12"/>
      <c r="B4" s="4"/>
      <c r="C4" s="4"/>
      <c r="D4" s="4"/>
      <c r="E4" s="4"/>
      <c r="F4" s="4"/>
      <c r="G4" s="4"/>
      <c r="H4" s="13"/>
    </row>
    <row r="5" spans="1:8" ht="18.75" x14ac:dyDescent="0.3">
      <c r="A5" s="12"/>
      <c r="B5" s="4"/>
      <c r="C5" s="91" t="s">
        <v>2</v>
      </c>
      <c r="D5" s="91"/>
      <c r="E5" s="91"/>
      <c r="F5" s="14"/>
      <c r="G5" s="14"/>
      <c r="H5" s="13"/>
    </row>
    <row r="6" spans="1:8" x14ac:dyDescent="0.25">
      <c r="A6" s="12"/>
      <c r="B6" s="4"/>
      <c r="C6" s="4"/>
      <c r="D6" s="4"/>
      <c r="E6" s="4"/>
      <c r="F6" s="4"/>
      <c r="G6" s="4"/>
      <c r="H6" s="13"/>
    </row>
    <row r="7" spans="1:8" x14ac:dyDescent="0.25">
      <c r="A7" s="15" t="s">
        <v>3</v>
      </c>
      <c r="B7" s="37">
        <v>128864</v>
      </c>
      <c r="C7" s="4"/>
      <c r="D7" s="16" t="s">
        <v>4</v>
      </c>
      <c r="E7" s="78" t="s">
        <v>30</v>
      </c>
      <c r="F7" s="81"/>
      <c r="G7" s="81"/>
      <c r="H7" s="82"/>
    </row>
    <row r="8" spans="1:8" x14ac:dyDescent="0.25">
      <c r="A8" s="15" t="s">
        <v>5</v>
      </c>
      <c r="B8" s="37" t="s">
        <v>43</v>
      </c>
      <c r="C8" s="4"/>
      <c r="D8" s="16" t="s">
        <v>6</v>
      </c>
      <c r="E8" s="78" t="s">
        <v>7</v>
      </c>
      <c r="F8" s="79"/>
      <c r="G8" s="4"/>
      <c r="H8" s="13"/>
    </row>
    <row r="9" spans="1:8" x14ac:dyDescent="0.25">
      <c r="A9" s="15" t="s">
        <v>9</v>
      </c>
      <c r="B9" s="37" t="s">
        <v>10</v>
      </c>
      <c r="C9" s="4"/>
      <c r="D9" s="16" t="s">
        <v>8</v>
      </c>
      <c r="E9" s="78" t="s">
        <v>27</v>
      </c>
      <c r="F9" s="81"/>
      <c r="G9" s="81"/>
      <c r="H9" s="82"/>
    </row>
    <row r="10" spans="1:8" x14ac:dyDescent="0.25">
      <c r="A10" s="12"/>
      <c r="B10" s="4"/>
      <c r="C10" s="4"/>
      <c r="D10" s="4"/>
      <c r="E10" s="4"/>
      <c r="F10" s="4"/>
      <c r="G10" s="4"/>
      <c r="H10" s="13"/>
    </row>
    <row r="11" spans="1:8" x14ac:dyDescent="0.25">
      <c r="A11" s="17" t="s">
        <v>11</v>
      </c>
      <c r="B11" s="37">
        <v>473</v>
      </c>
      <c r="C11" s="4"/>
      <c r="D11" s="2" t="s">
        <v>12</v>
      </c>
      <c r="E11" s="78">
        <v>37360</v>
      </c>
      <c r="F11" s="79"/>
      <c r="G11" s="16" t="s">
        <v>13</v>
      </c>
      <c r="H11" s="56">
        <v>16326</v>
      </c>
    </row>
    <row r="12" spans="1:8" x14ac:dyDescent="0.25">
      <c r="A12" s="17" t="s">
        <v>14</v>
      </c>
      <c r="B12" s="37">
        <v>516</v>
      </c>
      <c r="C12" s="4"/>
      <c r="D12" s="2" t="s">
        <v>33</v>
      </c>
      <c r="E12" s="80">
        <v>45383</v>
      </c>
      <c r="F12" s="79"/>
      <c r="G12" s="4"/>
      <c r="H12" s="13"/>
    </row>
    <row r="13" spans="1:8" x14ac:dyDescent="0.25">
      <c r="A13" s="12"/>
      <c r="B13" s="4"/>
      <c r="C13" s="4"/>
      <c r="D13" s="4"/>
      <c r="E13" s="4"/>
      <c r="F13" s="4"/>
      <c r="G13" s="4"/>
      <c r="H13" s="13"/>
    </row>
    <row r="14" spans="1:8" ht="15.75" thickBot="1" x14ac:dyDescent="0.3">
      <c r="A14" s="12"/>
      <c r="B14" s="4"/>
      <c r="C14" s="4"/>
      <c r="D14" s="4"/>
      <c r="E14" s="4"/>
      <c r="F14" s="4"/>
      <c r="G14" s="4"/>
      <c r="H14" s="13"/>
    </row>
    <row r="15" spans="1:8" x14ac:dyDescent="0.25">
      <c r="A15" s="113" t="s">
        <v>19</v>
      </c>
      <c r="B15" s="113" t="s">
        <v>18</v>
      </c>
      <c r="C15" s="113" t="s">
        <v>17</v>
      </c>
      <c r="D15" s="121" t="s">
        <v>34</v>
      </c>
      <c r="E15" s="113" t="s">
        <v>32</v>
      </c>
      <c r="F15" s="115" t="s">
        <v>15</v>
      </c>
      <c r="G15" s="116"/>
      <c r="H15" s="117"/>
    </row>
    <row r="16" spans="1:8" x14ac:dyDescent="0.25">
      <c r="A16" s="114"/>
      <c r="B16" s="114"/>
      <c r="C16" s="114"/>
      <c r="D16" s="122"/>
      <c r="E16" s="114"/>
      <c r="F16" s="118"/>
      <c r="G16" s="119"/>
      <c r="H16" s="120"/>
    </row>
    <row r="17" spans="1:8" ht="37.5" customHeight="1" x14ac:dyDescent="0.25">
      <c r="A17" s="52" t="s">
        <v>55</v>
      </c>
      <c r="B17" s="29">
        <v>0.35416666666666669</v>
      </c>
      <c r="C17" s="30">
        <v>0.79166666666666663</v>
      </c>
      <c r="D17" s="29">
        <v>0.4375</v>
      </c>
      <c r="E17" s="72">
        <v>2.5</v>
      </c>
      <c r="F17" s="77" t="s">
        <v>56</v>
      </c>
      <c r="G17" s="77"/>
      <c r="H17" s="77"/>
    </row>
    <row r="18" spans="1:8" ht="35.25" customHeight="1" x14ac:dyDescent="0.25">
      <c r="A18" s="57" t="s">
        <v>69</v>
      </c>
      <c r="B18" s="29">
        <v>0.5</v>
      </c>
      <c r="C18" s="30">
        <v>0.875</v>
      </c>
      <c r="D18" s="29">
        <v>0.375</v>
      </c>
      <c r="E18" s="63">
        <v>8</v>
      </c>
      <c r="F18" s="77" t="s">
        <v>70</v>
      </c>
      <c r="G18" s="101"/>
      <c r="H18" s="101"/>
    </row>
    <row r="19" spans="1:8" ht="18.75" customHeight="1" x14ac:dyDescent="0.25">
      <c r="A19" s="52" t="s">
        <v>75</v>
      </c>
      <c r="B19" s="29">
        <v>0.35416666666666669</v>
      </c>
      <c r="C19" s="30">
        <v>0.77083333333333337</v>
      </c>
      <c r="D19" s="29">
        <v>0.41666666666666669</v>
      </c>
      <c r="E19" s="63">
        <v>2</v>
      </c>
      <c r="F19" s="77" t="s">
        <v>77</v>
      </c>
      <c r="G19" s="77"/>
      <c r="H19" s="77"/>
    </row>
    <row r="20" spans="1:8" ht="44.25" customHeight="1" x14ac:dyDescent="0.25">
      <c r="A20" s="57" t="s">
        <v>89</v>
      </c>
      <c r="B20" s="29">
        <v>0.3125</v>
      </c>
      <c r="C20" s="30">
        <v>0.91666666666666663</v>
      </c>
      <c r="D20" s="29">
        <v>0.60416666666666663</v>
      </c>
      <c r="E20" s="66">
        <v>6</v>
      </c>
      <c r="F20" s="77" t="s">
        <v>90</v>
      </c>
      <c r="G20" s="101"/>
      <c r="H20" s="101"/>
    </row>
    <row r="21" spans="1:8" ht="17.25" customHeight="1" x14ac:dyDescent="0.25">
      <c r="A21" s="57"/>
      <c r="B21" s="29"/>
      <c r="C21" s="30"/>
      <c r="D21" s="29"/>
      <c r="E21" s="63"/>
      <c r="F21" s="77"/>
      <c r="G21" s="77"/>
      <c r="H21" s="77"/>
    </row>
    <row r="22" spans="1:8" ht="20.25" customHeight="1" x14ac:dyDescent="0.25">
      <c r="A22" s="52"/>
      <c r="B22" s="29"/>
      <c r="C22" s="30"/>
      <c r="D22" s="29"/>
      <c r="E22" s="63"/>
      <c r="F22" s="96"/>
      <c r="G22" s="97"/>
      <c r="H22" s="98"/>
    </row>
    <row r="23" spans="1:8" x14ac:dyDescent="0.25">
      <c r="A23" s="12"/>
      <c r="B23" s="16" t="s">
        <v>16</v>
      </c>
      <c r="C23" s="38">
        <f>SUM(E17:E22)</f>
        <v>18.5</v>
      </c>
      <c r="D23" s="4"/>
      <c r="E23" s="16" t="s">
        <v>20</v>
      </c>
      <c r="F23" s="102">
        <f>B12*C23</f>
        <v>9546</v>
      </c>
      <c r="G23" s="103"/>
      <c r="H23" s="19"/>
    </row>
    <row r="24" spans="1:8" x14ac:dyDescent="0.25">
      <c r="A24" s="12"/>
      <c r="B24" s="4"/>
      <c r="C24" s="4"/>
      <c r="D24" s="4"/>
      <c r="E24" s="4"/>
      <c r="F24" s="4"/>
      <c r="G24" s="4"/>
      <c r="H24" s="13"/>
    </row>
    <row r="25" spans="1:8" x14ac:dyDescent="0.25">
      <c r="A25" s="12"/>
      <c r="B25" s="4"/>
      <c r="C25" s="4"/>
      <c r="D25" s="4"/>
      <c r="E25" s="4"/>
      <c r="F25" s="4"/>
      <c r="G25" s="4"/>
      <c r="H25" s="13"/>
    </row>
    <row r="26" spans="1:8" x14ac:dyDescent="0.25">
      <c r="A26" s="12"/>
      <c r="B26" s="4"/>
      <c r="C26" s="4"/>
      <c r="D26" s="4"/>
      <c r="E26" s="4"/>
      <c r="F26" s="4"/>
      <c r="G26" s="4"/>
      <c r="H26" s="13"/>
    </row>
    <row r="27" spans="1:8" x14ac:dyDescent="0.25">
      <c r="A27" s="20" t="s">
        <v>21</v>
      </c>
      <c r="B27" s="3"/>
      <c r="C27" s="4"/>
      <c r="D27" s="4"/>
      <c r="E27" s="104" t="s">
        <v>23</v>
      </c>
      <c r="F27" s="104"/>
      <c r="G27" s="104"/>
      <c r="H27" s="105"/>
    </row>
    <row r="28" spans="1:8" x14ac:dyDescent="0.25">
      <c r="A28" s="106" t="s">
        <v>49</v>
      </c>
      <c r="B28" s="107"/>
      <c r="C28" s="107"/>
      <c r="D28" s="107"/>
      <c r="E28" s="107"/>
      <c r="F28" s="107"/>
      <c r="G28" s="107"/>
      <c r="H28" s="21"/>
    </row>
    <row r="29" spans="1:8" x14ac:dyDescent="0.25">
      <c r="A29" s="108" t="s">
        <v>24</v>
      </c>
      <c r="B29" s="109"/>
      <c r="C29" s="109"/>
      <c r="D29" s="109"/>
      <c r="E29" s="109"/>
      <c r="F29" s="109"/>
      <c r="G29" s="109"/>
      <c r="H29" s="22"/>
    </row>
    <row r="30" spans="1:8" x14ac:dyDescent="0.25">
      <c r="A30" s="35" t="s">
        <v>25</v>
      </c>
      <c r="B30" s="36"/>
      <c r="C30" s="36"/>
      <c r="D30" s="36"/>
      <c r="E30" s="36"/>
      <c r="F30" s="36"/>
      <c r="G30" s="36"/>
      <c r="H30" s="22"/>
    </row>
    <row r="31" spans="1:8" x14ac:dyDescent="0.25">
      <c r="A31" s="108" t="s">
        <v>26</v>
      </c>
      <c r="B31" s="109"/>
      <c r="C31" s="109"/>
      <c r="D31" s="109"/>
      <c r="E31" s="109"/>
      <c r="F31" s="109"/>
      <c r="G31" s="109"/>
      <c r="H31" s="22"/>
    </row>
    <row r="32" spans="1:8" x14ac:dyDescent="0.25">
      <c r="A32" s="12"/>
      <c r="B32" s="4"/>
      <c r="C32" s="4"/>
      <c r="D32" s="4"/>
      <c r="E32" s="4"/>
      <c r="F32" s="4"/>
      <c r="G32" s="4"/>
      <c r="H32" s="13"/>
    </row>
    <row r="33" spans="1:8" x14ac:dyDescent="0.25">
      <c r="A33" s="12"/>
      <c r="B33" s="4"/>
      <c r="C33" s="4"/>
      <c r="D33" s="4"/>
      <c r="E33" s="4"/>
      <c r="F33" s="4"/>
      <c r="G33" s="4"/>
      <c r="H33" s="13"/>
    </row>
    <row r="34" spans="1:8" ht="15.75" thickBot="1" x14ac:dyDescent="0.3">
      <c r="A34" s="24" t="s">
        <v>21</v>
      </c>
      <c r="B34" s="25"/>
      <c r="C34" s="27"/>
      <c r="D34" s="27"/>
      <c r="E34" s="99" t="s">
        <v>22</v>
      </c>
      <c r="F34" s="99"/>
      <c r="G34" s="99"/>
      <c r="H34" s="100"/>
    </row>
  </sheetData>
  <mergeCells count="26">
    <mergeCell ref="E34:H34"/>
    <mergeCell ref="F23:G23"/>
    <mergeCell ref="E27:H27"/>
    <mergeCell ref="A28:G28"/>
    <mergeCell ref="A29:G29"/>
    <mergeCell ref="A15:A16"/>
    <mergeCell ref="B15:B16"/>
    <mergeCell ref="C15:C16"/>
    <mergeCell ref="F15:H16"/>
    <mergeCell ref="A31:G31"/>
    <mergeCell ref="F17:H17"/>
    <mergeCell ref="D15:D16"/>
    <mergeCell ref="E15:E16"/>
    <mergeCell ref="F18:H18"/>
    <mergeCell ref="F19:H19"/>
    <mergeCell ref="F20:H20"/>
    <mergeCell ref="F21:H21"/>
    <mergeCell ref="F22:H22"/>
    <mergeCell ref="E11:F11"/>
    <mergeCell ref="E12:F12"/>
    <mergeCell ref="E9:H9"/>
    <mergeCell ref="F1:H1"/>
    <mergeCell ref="B2:H3"/>
    <mergeCell ref="C5:E5"/>
    <mergeCell ref="E7:H7"/>
    <mergeCell ref="E8:F8"/>
  </mergeCells>
  <pageMargins left="0.7" right="0.7" top="0.75" bottom="0.75" header="0.3" footer="0.3"/>
  <pageSetup paperSize="9" scale="97" orientation="portrait" verticalDpi="598" r:id="rId1"/>
  <drawing r:id="rId2"/>
  <legacyDrawing r:id="rId3"/>
  <oleObjects>
    <mc:AlternateContent xmlns:mc="http://schemas.openxmlformats.org/markup-compatibility/2006">
      <mc:Choice Requires="x14">
        <oleObject progId="Word.Picture.8" shapeId="4097" r:id="rId4">
          <objectPr defaultSize="0" autoPict="0" r:id="rId5">
            <anchor moveWithCells="1" sizeWithCells="1">
              <from>
                <xdr:col>0</xdr:col>
                <xdr:colOff>76200</xdr:colOff>
                <xdr:row>0</xdr:row>
                <xdr:rowOff>133350</xdr:rowOff>
              </from>
              <to>
                <xdr:col>1</xdr:col>
                <xdr:colOff>0</xdr:colOff>
                <xdr:row>4</xdr:row>
                <xdr:rowOff>209550</xdr:rowOff>
              </to>
            </anchor>
          </objectPr>
        </oleObject>
      </mc:Choice>
      <mc:Fallback>
        <oleObject progId="Word.Picture.8" shapeId="4097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3"/>
  <sheetViews>
    <sheetView zoomScale="80" zoomScaleNormal="80" workbookViewId="0">
      <selection activeCell="F17" sqref="F17:H17"/>
    </sheetView>
  </sheetViews>
  <sheetFormatPr defaultRowHeight="15" x14ac:dyDescent="0.25"/>
  <cols>
    <col min="1" max="1" width="15.140625" customWidth="1"/>
    <col min="2" max="2" width="10.28515625" customWidth="1"/>
    <col min="3" max="3" width="9.5703125" customWidth="1"/>
    <col min="4" max="4" width="12.85546875" customWidth="1"/>
    <col min="8" max="8" width="62.28515625" customWidth="1"/>
    <col min="9" max="9" width="23" customWidth="1"/>
  </cols>
  <sheetData>
    <row r="1" spans="1:8" x14ac:dyDescent="0.25">
      <c r="A1" s="9"/>
      <c r="B1" s="10"/>
      <c r="C1" s="10"/>
      <c r="D1" s="10"/>
      <c r="E1" s="10"/>
      <c r="F1" s="83" t="s">
        <v>0</v>
      </c>
      <c r="G1" s="83"/>
      <c r="H1" s="84"/>
    </row>
    <row r="2" spans="1:8" x14ac:dyDescent="0.25">
      <c r="A2" s="12"/>
      <c r="B2" s="85" t="s">
        <v>1</v>
      </c>
      <c r="C2" s="86"/>
      <c r="D2" s="86"/>
      <c r="E2" s="86"/>
      <c r="F2" s="86"/>
      <c r="G2" s="86"/>
      <c r="H2" s="87"/>
    </row>
    <row r="3" spans="1:8" x14ac:dyDescent="0.25">
      <c r="A3" s="12"/>
      <c r="B3" s="88"/>
      <c r="C3" s="89"/>
      <c r="D3" s="89"/>
      <c r="E3" s="89"/>
      <c r="F3" s="89"/>
      <c r="G3" s="89"/>
      <c r="H3" s="90"/>
    </row>
    <row r="4" spans="1:8" x14ac:dyDescent="0.25">
      <c r="A4" s="12"/>
      <c r="B4" s="4"/>
      <c r="C4" s="4"/>
      <c r="D4" s="4"/>
      <c r="E4" s="4"/>
      <c r="F4" s="4"/>
      <c r="G4" s="4"/>
      <c r="H4" s="13"/>
    </row>
    <row r="5" spans="1:8" ht="18.75" x14ac:dyDescent="0.3">
      <c r="A5" s="12"/>
      <c r="B5" s="4"/>
      <c r="C5" s="91" t="s">
        <v>2</v>
      </c>
      <c r="D5" s="91"/>
      <c r="E5" s="91"/>
      <c r="F5" s="14"/>
      <c r="G5" s="14"/>
      <c r="H5" s="13"/>
    </row>
    <row r="6" spans="1:8" x14ac:dyDescent="0.25">
      <c r="A6" s="12"/>
      <c r="B6" s="4"/>
      <c r="C6" s="4"/>
      <c r="D6" s="4"/>
      <c r="E6" s="4"/>
      <c r="F6" s="4"/>
      <c r="G6" s="4"/>
      <c r="H6" s="13"/>
    </row>
    <row r="7" spans="1:8" x14ac:dyDescent="0.25">
      <c r="A7" s="15" t="s">
        <v>3</v>
      </c>
      <c r="B7" s="37">
        <v>128798</v>
      </c>
      <c r="C7" s="4"/>
      <c r="D7" s="16" t="s">
        <v>4</v>
      </c>
      <c r="E7" s="78" t="s">
        <v>31</v>
      </c>
      <c r="F7" s="81"/>
      <c r="G7" s="81"/>
      <c r="H7" s="82"/>
    </row>
    <row r="8" spans="1:8" x14ac:dyDescent="0.25">
      <c r="A8" s="15" t="s">
        <v>5</v>
      </c>
      <c r="B8" s="37" t="s">
        <v>52</v>
      </c>
      <c r="C8" s="4"/>
      <c r="D8" s="16" t="s">
        <v>6</v>
      </c>
      <c r="E8" s="78" t="s">
        <v>7</v>
      </c>
      <c r="F8" s="79"/>
      <c r="G8" s="4"/>
      <c r="H8" s="13"/>
    </row>
    <row r="9" spans="1:8" x14ac:dyDescent="0.25">
      <c r="A9" s="15" t="s">
        <v>9</v>
      </c>
      <c r="B9" s="37" t="s">
        <v>10</v>
      </c>
      <c r="C9" s="4"/>
      <c r="D9" s="16" t="s">
        <v>8</v>
      </c>
      <c r="E9" s="78" t="s">
        <v>27</v>
      </c>
      <c r="F9" s="81"/>
      <c r="G9" s="81"/>
      <c r="H9" s="82"/>
    </row>
    <row r="10" spans="1:8" x14ac:dyDescent="0.25">
      <c r="A10" s="12"/>
      <c r="B10" s="4"/>
      <c r="C10" s="4"/>
      <c r="D10" s="4"/>
      <c r="E10" s="4"/>
      <c r="F10" s="4"/>
      <c r="G10" s="4"/>
      <c r="H10" s="13"/>
    </row>
    <row r="11" spans="1:8" x14ac:dyDescent="0.25">
      <c r="A11" s="17" t="s">
        <v>11</v>
      </c>
      <c r="B11" s="37">
        <v>473</v>
      </c>
      <c r="C11" s="4"/>
      <c r="D11" s="2" t="s">
        <v>12</v>
      </c>
      <c r="E11" s="78">
        <v>37360</v>
      </c>
      <c r="F11" s="79"/>
      <c r="G11" s="16" t="s">
        <v>13</v>
      </c>
      <c r="H11" s="56">
        <v>16326</v>
      </c>
    </row>
    <row r="12" spans="1:8" x14ac:dyDescent="0.25">
      <c r="A12" s="17" t="s">
        <v>14</v>
      </c>
      <c r="B12" s="37">
        <v>516</v>
      </c>
      <c r="C12" s="4"/>
      <c r="D12" s="2" t="s">
        <v>33</v>
      </c>
      <c r="E12" s="80">
        <v>45383</v>
      </c>
      <c r="F12" s="79"/>
      <c r="G12" s="4"/>
      <c r="H12" s="13"/>
    </row>
    <row r="13" spans="1:8" x14ac:dyDescent="0.25">
      <c r="A13" s="12"/>
      <c r="B13" s="4"/>
      <c r="C13" s="4"/>
      <c r="D13" s="4"/>
      <c r="E13" s="4"/>
      <c r="F13" s="4"/>
      <c r="G13" s="4"/>
      <c r="H13" s="13"/>
    </row>
    <row r="14" spans="1:8" ht="15.75" thickBot="1" x14ac:dyDescent="0.3">
      <c r="A14" s="12"/>
      <c r="B14" s="4"/>
      <c r="C14" s="4"/>
      <c r="D14" s="4"/>
      <c r="E14" s="4"/>
      <c r="F14" s="4"/>
      <c r="G14" s="4"/>
      <c r="H14" s="13"/>
    </row>
    <row r="15" spans="1:8" ht="15" customHeight="1" x14ac:dyDescent="0.25">
      <c r="A15" s="113" t="s">
        <v>19</v>
      </c>
      <c r="B15" s="113" t="s">
        <v>18</v>
      </c>
      <c r="C15" s="113" t="s">
        <v>17</v>
      </c>
      <c r="D15" s="121" t="s">
        <v>34</v>
      </c>
      <c r="E15" s="113" t="s">
        <v>32</v>
      </c>
      <c r="F15" s="115" t="s">
        <v>15</v>
      </c>
      <c r="G15" s="116"/>
      <c r="H15" s="117"/>
    </row>
    <row r="16" spans="1:8" x14ac:dyDescent="0.25">
      <c r="A16" s="114"/>
      <c r="B16" s="114"/>
      <c r="C16" s="114"/>
      <c r="D16" s="122"/>
      <c r="E16" s="114"/>
      <c r="F16" s="118"/>
      <c r="G16" s="119"/>
      <c r="H16" s="120"/>
    </row>
    <row r="17" spans="1:8" ht="25.5" customHeight="1" x14ac:dyDescent="0.25">
      <c r="A17" s="57"/>
      <c r="B17" s="29"/>
      <c r="C17" s="30"/>
      <c r="D17" s="29"/>
      <c r="E17" s="70"/>
      <c r="F17" s="77"/>
      <c r="G17" s="77"/>
      <c r="H17" s="77"/>
    </row>
    <row r="18" spans="1:8" ht="30.75" customHeight="1" x14ac:dyDescent="0.25">
      <c r="A18" s="57"/>
      <c r="B18" s="29"/>
      <c r="C18" s="30"/>
      <c r="D18" s="29"/>
      <c r="E18" s="63"/>
      <c r="F18" s="77"/>
      <c r="G18" s="101"/>
      <c r="H18" s="101"/>
    </row>
    <row r="19" spans="1:8" ht="26.25" customHeight="1" x14ac:dyDescent="0.25">
      <c r="A19" s="52"/>
      <c r="B19" s="29"/>
      <c r="C19" s="30"/>
      <c r="D19" s="29"/>
      <c r="E19" s="71"/>
      <c r="F19" s="77"/>
      <c r="G19" s="77"/>
      <c r="H19" s="77"/>
    </row>
    <row r="20" spans="1:8" ht="25.5" customHeight="1" x14ac:dyDescent="0.25">
      <c r="A20" s="57"/>
      <c r="B20" s="29"/>
      <c r="C20" s="30"/>
      <c r="D20" s="29"/>
      <c r="E20" s="63"/>
      <c r="F20" s="77"/>
      <c r="G20" s="101"/>
      <c r="H20" s="101"/>
    </row>
    <row r="21" spans="1:8" ht="22.5" customHeight="1" x14ac:dyDescent="0.25">
      <c r="A21" s="52"/>
      <c r="B21" s="29"/>
      <c r="C21" s="30"/>
      <c r="D21" s="29"/>
      <c r="E21" s="63"/>
      <c r="F21" s="96"/>
      <c r="G21" s="97"/>
      <c r="H21" s="98"/>
    </row>
    <row r="22" spans="1:8" x14ac:dyDescent="0.25">
      <c r="A22" s="12"/>
      <c r="B22" s="16" t="s">
        <v>16</v>
      </c>
      <c r="C22" s="38">
        <f>SUM(E17:E20)</f>
        <v>0</v>
      </c>
      <c r="D22" s="4"/>
      <c r="E22" s="16" t="s">
        <v>20</v>
      </c>
      <c r="F22" s="102">
        <f>B12*C22</f>
        <v>0</v>
      </c>
      <c r="G22" s="103"/>
      <c r="H22" s="19"/>
    </row>
    <row r="23" spans="1:8" x14ac:dyDescent="0.25">
      <c r="A23" s="12"/>
      <c r="B23" s="4"/>
      <c r="C23" s="4"/>
      <c r="D23" s="4"/>
      <c r="E23" s="4"/>
      <c r="F23" s="4"/>
      <c r="G23" s="4"/>
      <c r="H23" s="13"/>
    </row>
    <row r="24" spans="1:8" x14ac:dyDescent="0.25">
      <c r="A24" s="12"/>
      <c r="B24" s="4"/>
      <c r="C24" s="4"/>
      <c r="D24" s="4"/>
      <c r="E24" s="4"/>
      <c r="F24" s="4"/>
      <c r="G24" s="4"/>
      <c r="H24" s="13"/>
    </row>
    <row r="25" spans="1:8" x14ac:dyDescent="0.25">
      <c r="A25" s="12"/>
      <c r="B25" s="4"/>
      <c r="C25" s="4"/>
      <c r="D25" s="4"/>
      <c r="E25" s="4"/>
      <c r="F25" s="4"/>
      <c r="G25" s="4"/>
      <c r="H25" s="13"/>
    </row>
    <row r="26" spans="1:8" x14ac:dyDescent="0.25">
      <c r="A26" s="20" t="s">
        <v>21</v>
      </c>
      <c r="B26" s="3"/>
      <c r="C26" s="4"/>
      <c r="D26" s="4"/>
      <c r="E26" s="104" t="s">
        <v>23</v>
      </c>
      <c r="F26" s="104"/>
      <c r="G26" s="104"/>
      <c r="H26" s="105"/>
    </row>
    <row r="27" spans="1:8" x14ac:dyDescent="0.25">
      <c r="A27" s="106" t="s">
        <v>49</v>
      </c>
      <c r="B27" s="107"/>
      <c r="C27" s="107"/>
      <c r="D27" s="107"/>
      <c r="E27" s="107"/>
      <c r="F27" s="107"/>
      <c r="G27" s="107"/>
      <c r="H27" s="21"/>
    </row>
    <row r="28" spans="1:8" x14ac:dyDescent="0.25">
      <c r="A28" s="108" t="s">
        <v>24</v>
      </c>
      <c r="B28" s="109"/>
      <c r="C28" s="109"/>
      <c r="D28" s="109"/>
      <c r="E28" s="109"/>
      <c r="F28" s="109"/>
      <c r="G28" s="109"/>
      <c r="H28" s="22"/>
    </row>
    <row r="29" spans="1:8" x14ac:dyDescent="0.25">
      <c r="A29" s="35" t="s">
        <v>25</v>
      </c>
      <c r="B29" s="36"/>
      <c r="C29" s="36"/>
      <c r="D29" s="36"/>
      <c r="E29" s="36"/>
      <c r="F29" s="36"/>
      <c r="G29" s="36"/>
      <c r="H29" s="22"/>
    </row>
    <row r="30" spans="1:8" x14ac:dyDescent="0.25">
      <c r="A30" s="108" t="s">
        <v>26</v>
      </c>
      <c r="B30" s="109"/>
      <c r="C30" s="109"/>
      <c r="D30" s="109"/>
      <c r="E30" s="109"/>
      <c r="F30" s="109"/>
      <c r="G30" s="109"/>
      <c r="H30" s="22"/>
    </row>
    <row r="31" spans="1:8" x14ac:dyDescent="0.25">
      <c r="A31" s="12"/>
      <c r="B31" s="4"/>
      <c r="C31" s="4"/>
      <c r="D31" s="4"/>
      <c r="E31" s="4"/>
      <c r="F31" s="4"/>
      <c r="G31" s="4"/>
      <c r="H31" s="13"/>
    </row>
    <row r="32" spans="1:8" x14ac:dyDescent="0.25">
      <c r="A32" s="12"/>
      <c r="B32" s="4"/>
      <c r="C32" s="4"/>
      <c r="D32" s="4"/>
      <c r="E32" s="4"/>
      <c r="F32" s="4"/>
      <c r="G32" s="4"/>
      <c r="H32" s="13"/>
    </row>
    <row r="33" spans="1:8" ht="15.75" thickBot="1" x14ac:dyDescent="0.3">
      <c r="A33" s="24" t="s">
        <v>21</v>
      </c>
      <c r="B33" s="25"/>
      <c r="C33" s="27"/>
      <c r="D33" s="27"/>
      <c r="E33" s="99" t="s">
        <v>22</v>
      </c>
      <c r="F33" s="99"/>
      <c r="G33" s="99"/>
      <c r="H33" s="100"/>
    </row>
  </sheetData>
  <mergeCells count="25">
    <mergeCell ref="F20:H20"/>
    <mergeCell ref="F19:H19"/>
    <mergeCell ref="A30:G30"/>
    <mergeCell ref="F21:H21"/>
    <mergeCell ref="E33:H33"/>
    <mergeCell ref="F22:G22"/>
    <mergeCell ref="E26:H26"/>
    <mergeCell ref="A27:G27"/>
    <mergeCell ref="A28:G28"/>
    <mergeCell ref="A15:A16"/>
    <mergeCell ref="B15:B16"/>
    <mergeCell ref="C15:C16"/>
    <mergeCell ref="F15:H16"/>
    <mergeCell ref="F18:H18"/>
    <mergeCell ref="F17:H17"/>
    <mergeCell ref="E9:H9"/>
    <mergeCell ref="D15:D16"/>
    <mergeCell ref="E15:E16"/>
    <mergeCell ref="E11:F11"/>
    <mergeCell ref="E12:F12"/>
    <mergeCell ref="F1:H1"/>
    <mergeCell ref="B2:H3"/>
    <mergeCell ref="C5:E5"/>
    <mergeCell ref="E7:H7"/>
    <mergeCell ref="E8:F8"/>
  </mergeCells>
  <pageMargins left="0.7" right="0.7" top="0.75" bottom="0.75" header="0.3" footer="0.3"/>
  <pageSetup paperSize="9" scale="91" orientation="portrait" verticalDpi="598" r:id="rId1"/>
  <drawing r:id="rId2"/>
  <legacyDrawing r:id="rId3"/>
  <oleObjects>
    <mc:AlternateContent xmlns:mc="http://schemas.openxmlformats.org/markup-compatibility/2006">
      <mc:Choice Requires="x14">
        <oleObject progId="Word.Picture.8" shapeId="5121" r:id="rId4">
          <objectPr defaultSize="0" autoPict="0" r:id="rId5">
            <anchor moveWithCells="1" sizeWithCells="1">
              <from>
                <xdr:col>0</xdr:col>
                <xdr:colOff>76200</xdr:colOff>
                <xdr:row>0</xdr:row>
                <xdr:rowOff>133350</xdr:rowOff>
              </from>
              <to>
                <xdr:col>1</xdr:col>
                <xdr:colOff>0</xdr:colOff>
                <xdr:row>4</xdr:row>
                <xdr:rowOff>209550</xdr:rowOff>
              </to>
            </anchor>
          </objectPr>
        </oleObject>
      </mc:Choice>
      <mc:Fallback>
        <oleObject progId="Word.Picture.8" shapeId="5121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7"/>
  <sheetViews>
    <sheetView topLeftCell="A13" zoomScaleNormal="100" workbookViewId="0">
      <selection activeCell="H26" sqref="H26"/>
    </sheetView>
  </sheetViews>
  <sheetFormatPr defaultRowHeight="15" x14ac:dyDescent="0.25"/>
  <cols>
    <col min="1" max="2" width="14" customWidth="1"/>
    <col min="3" max="3" width="10" customWidth="1"/>
    <col min="4" max="4" width="13.85546875" customWidth="1"/>
    <col min="8" max="8" width="60.5703125" customWidth="1"/>
  </cols>
  <sheetData>
    <row r="1" spans="1:8" x14ac:dyDescent="0.25">
      <c r="A1" s="9"/>
      <c r="B1" s="10"/>
      <c r="C1" s="11"/>
      <c r="D1" s="10"/>
      <c r="E1" s="10"/>
      <c r="F1" s="83" t="s">
        <v>0</v>
      </c>
      <c r="G1" s="83"/>
      <c r="H1" s="84"/>
    </row>
    <row r="2" spans="1:8" x14ac:dyDescent="0.25">
      <c r="A2" s="12"/>
      <c r="B2" s="85" t="s">
        <v>1</v>
      </c>
      <c r="C2" s="86"/>
      <c r="D2" s="86"/>
      <c r="E2" s="86"/>
      <c r="F2" s="86"/>
      <c r="G2" s="86"/>
      <c r="H2" s="87"/>
    </row>
    <row r="3" spans="1:8" x14ac:dyDescent="0.25">
      <c r="A3" s="12"/>
      <c r="B3" s="88"/>
      <c r="C3" s="89"/>
      <c r="D3" s="89"/>
      <c r="E3" s="89"/>
      <c r="F3" s="89"/>
      <c r="G3" s="89"/>
      <c r="H3" s="90"/>
    </row>
    <row r="4" spans="1:8" x14ac:dyDescent="0.25">
      <c r="A4" s="12"/>
      <c r="B4" s="4"/>
      <c r="C4" s="6"/>
      <c r="D4" s="4"/>
      <c r="E4" s="4"/>
      <c r="F4" s="4"/>
      <c r="G4" s="4"/>
      <c r="H4" s="13"/>
    </row>
    <row r="5" spans="1:8" ht="18.75" x14ac:dyDescent="0.3">
      <c r="A5" s="12"/>
      <c r="B5" s="4"/>
      <c r="C5" s="91" t="s">
        <v>2</v>
      </c>
      <c r="D5" s="91"/>
      <c r="E5" s="91"/>
      <c r="F5" s="14"/>
      <c r="G5" s="14"/>
      <c r="H5" s="13"/>
    </row>
    <row r="6" spans="1:8" x14ac:dyDescent="0.25">
      <c r="A6" s="12"/>
      <c r="B6" s="4"/>
      <c r="C6" s="6"/>
      <c r="D6" s="4"/>
      <c r="E6" s="4"/>
      <c r="F6" s="4"/>
      <c r="G6" s="4"/>
      <c r="H6" s="13"/>
    </row>
    <row r="7" spans="1:8" x14ac:dyDescent="0.25">
      <c r="A7" s="15" t="s">
        <v>3</v>
      </c>
      <c r="B7" s="37">
        <v>132598</v>
      </c>
      <c r="C7" s="6"/>
      <c r="D7" s="16" t="s">
        <v>4</v>
      </c>
      <c r="E7" s="78" t="s">
        <v>45</v>
      </c>
      <c r="F7" s="81"/>
      <c r="G7" s="81"/>
      <c r="H7" s="82"/>
    </row>
    <row r="8" spans="1:8" x14ac:dyDescent="0.25">
      <c r="A8" s="15" t="s">
        <v>5</v>
      </c>
      <c r="B8" s="37" t="s">
        <v>53</v>
      </c>
      <c r="C8" s="6"/>
      <c r="D8" s="16" t="s">
        <v>6</v>
      </c>
      <c r="E8" s="78" t="s">
        <v>7</v>
      </c>
      <c r="F8" s="79"/>
      <c r="G8" s="4"/>
      <c r="H8" s="13"/>
    </row>
    <row r="9" spans="1:8" x14ac:dyDescent="0.25">
      <c r="A9" s="15" t="s">
        <v>9</v>
      </c>
      <c r="B9" s="37" t="s">
        <v>10</v>
      </c>
      <c r="C9" s="6"/>
      <c r="D9" s="16" t="s">
        <v>8</v>
      </c>
      <c r="E9" s="78" t="s">
        <v>27</v>
      </c>
      <c r="F9" s="81"/>
      <c r="G9" s="81"/>
      <c r="H9" s="82"/>
    </row>
    <row r="10" spans="1:8" x14ac:dyDescent="0.25">
      <c r="A10" s="12"/>
      <c r="B10" s="4"/>
      <c r="C10" s="6"/>
      <c r="D10" s="4"/>
      <c r="E10" s="4"/>
      <c r="F10" s="4"/>
      <c r="G10" s="4"/>
      <c r="H10" s="13"/>
    </row>
    <row r="11" spans="1:8" x14ac:dyDescent="0.25">
      <c r="A11" s="17" t="s">
        <v>11</v>
      </c>
      <c r="B11" s="37">
        <v>473</v>
      </c>
      <c r="C11" s="6"/>
      <c r="D11" s="2" t="s">
        <v>12</v>
      </c>
      <c r="E11" s="78">
        <v>36280</v>
      </c>
      <c r="F11" s="79"/>
      <c r="G11" s="16" t="s">
        <v>13</v>
      </c>
      <c r="H11" s="33">
        <v>15854</v>
      </c>
    </row>
    <row r="12" spans="1:8" x14ac:dyDescent="0.25">
      <c r="A12" s="17" t="s">
        <v>14</v>
      </c>
      <c r="B12" s="37">
        <v>501</v>
      </c>
      <c r="C12" s="6"/>
      <c r="D12" s="2" t="s">
        <v>33</v>
      </c>
      <c r="E12" s="80">
        <v>45383</v>
      </c>
      <c r="F12" s="79"/>
      <c r="G12" s="4"/>
      <c r="H12" s="13"/>
    </row>
    <row r="13" spans="1:8" x14ac:dyDescent="0.25">
      <c r="A13" s="12"/>
      <c r="B13" s="4"/>
      <c r="C13" s="6"/>
      <c r="D13" s="4"/>
      <c r="E13" s="4"/>
      <c r="F13" s="4"/>
      <c r="G13" s="4"/>
      <c r="H13" s="13"/>
    </row>
    <row r="14" spans="1:8" ht="15.75" thickBot="1" x14ac:dyDescent="0.3">
      <c r="A14" s="12"/>
      <c r="B14" s="4"/>
      <c r="C14" s="6"/>
      <c r="D14" s="4"/>
      <c r="E14" s="4"/>
      <c r="F14" s="4"/>
      <c r="G14" s="4"/>
      <c r="H14" s="13"/>
    </row>
    <row r="15" spans="1:8" x14ac:dyDescent="0.25">
      <c r="A15" s="113" t="s">
        <v>19</v>
      </c>
      <c r="B15" s="113" t="s">
        <v>18</v>
      </c>
      <c r="C15" s="123" t="s">
        <v>17</v>
      </c>
      <c r="D15" s="113" t="s">
        <v>16</v>
      </c>
      <c r="E15" s="113" t="s">
        <v>32</v>
      </c>
      <c r="F15" s="115" t="s">
        <v>15</v>
      </c>
      <c r="G15" s="116"/>
      <c r="H15" s="117"/>
    </row>
    <row r="16" spans="1:8" x14ac:dyDescent="0.25">
      <c r="A16" s="114"/>
      <c r="B16" s="114"/>
      <c r="C16" s="124"/>
      <c r="D16" s="114"/>
      <c r="E16" s="114"/>
      <c r="F16" s="118"/>
      <c r="G16" s="119"/>
      <c r="H16" s="120"/>
    </row>
    <row r="17" spans="1:8" ht="32.25" customHeight="1" x14ac:dyDescent="0.25">
      <c r="A17" s="52" t="s">
        <v>58</v>
      </c>
      <c r="B17" s="29">
        <v>0.35416666666666669</v>
      </c>
      <c r="C17" s="30">
        <v>0.79166666666666663</v>
      </c>
      <c r="D17" s="29">
        <v>0.4375</v>
      </c>
      <c r="E17" s="73">
        <v>2.5</v>
      </c>
      <c r="F17" s="77" t="s">
        <v>60</v>
      </c>
      <c r="G17" s="77"/>
      <c r="H17" s="77"/>
    </row>
    <row r="18" spans="1:8" ht="35.25" customHeight="1" x14ac:dyDescent="0.25">
      <c r="A18" s="52" t="s">
        <v>64</v>
      </c>
      <c r="B18" s="29">
        <v>0.3125</v>
      </c>
      <c r="C18" s="30">
        <v>0.875</v>
      </c>
      <c r="D18" s="29">
        <v>0.5625</v>
      </c>
      <c r="E18" s="73">
        <v>5</v>
      </c>
      <c r="F18" s="77" t="s">
        <v>66</v>
      </c>
      <c r="G18" s="77"/>
      <c r="H18" s="77"/>
    </row>
    <row r="19" spans="1:8" ht="44.25" customHeight="1" x14ac:dyDescent="0.25">
      <c r="A19" s="52" t="s">
        <v>71</v>
      </c>
      <c r="B19" s="29">
        <v>0.35416666666666669</v>
      </c>
      <c r="C19" s="30">
        <v>0.77083333333333337</v>
      </c>
      <c r="D19" s="29">
        <v>0.41666666666666669</v>
      </c>
      <c r="E19" s="73">
        <v>2</v>
      </c>
      <c r="F19" s="77" t="s">
        <v>72</v>
      </c>
      <c r="G19" s="77"/>
      <c r="H19" s="77"/>
    </row>
    <row r="20" spans="1:8" ht="18.75" customHeight="1" x14ac:dyDescent="0.25">
      <c r="A20" s="52" t="s">
        <v>75</v>
      </c>
      <c r="B20" s="29">
        <v>0.35416666666666669</v>
      </c>
      <c r="C20" s="30">
        <v>0.77083333333333337</v>
      </c>
      <c r="D20" s="29">
        <v>0.41666666666666669</v>
      </c>
      <c r="E20" s="74">
        <v>2</v>
      </c>
      <c r="F20" s="77" t="s">
        <v>77</v>
      </c>
      <c r="G20" s="77"/>
      <c r="H20" s="77"/>
    </row>
    <row r="21" spans="1:8" ht="33" customHeight="1" x14ac:dyDescent="0.25">
      <c r="A21" s="57" t="s">
        <v>78</v>
      </c>
      <c r="B21" s="29">
        <v>0.35416666666666669</v>
      </c>
      <c r="C21" s="30">
        <v>0.72916666666666663</v>
      </c>
      <c r="D21" s="29">
        <v>0.39583333333333331</v>
      </c>
      <c r="E21" s="74">
        <v>1</v>
      </c>
      <c r="F21" s="77" t="s">
        <v>79</v>
      </c>
      <c r="G21" s="101"/>
      <c r="H21" s="101"/>
    </row>
    <row r="22" spans="1:8" ht="44.25" customHeight="1" x14ac:dyDescent="0.25">
      <c r="A22" s="57" t="s">
        <v>89</v>
      </c>
      <c r="B22" s="29">
        <v>0.3125</v>
      </c>
      <c r="C22" s="30">
        <v>0.91666666666666663</v>
      </c>
      <c r="D22" s="29">
        <v>0.60416666666666663</v>
      </c>
      <c r="E22" s="75">
        <v>6</v>
      </c>
      <c r="F22" s="77" t="s">
        <v>90</v>
      </c>
      <c r="G22" s="101"/>
      <c r="H22" s="101"/>
    </row>
    <row r="23" spans="1:8" ht="45" customHeight="1" x14ac:dyDescent="0.25">
      <c r="A23" s="57" t="s">
        <v>96</v>
      </c>
      <c r="B23" s="29">
        <v>0.35416666666666669</v>
      </c>
      <c r="C23" s="30">
        <v>1</v>
      </c>
      <c r="D23" s="29">
        <v>0.64583333333333337</v>
      </c>
      <c r="E23" s="70">
        <v>7</v>
      </c>
      <c r="F23" s="77" t="s">
        <v>95</v>
      </c>
      <c r="G23" s="77"/>
      <c r="H23" s="77"/>
    </row>
    <row r="24" spans="1:8" ht="20.25" customHeight="1" x14ac:dyDescent="0.25">
      <c r="A24" s="57" t="s">
        <v>97</v>
      </c>
      <c r="B24" s="29">
        <v>0</v>
      </c>
      <c r="C24" s="30">
        <v>0.6875</v>
      </c>
      <c r="D24" s="29">
        <v>0.6875</v>
      </c>
      <c r="E24" s="71">
        <v>7.5</v>
      </c>
      <c r="F24" s="77" t="s">
        <v>98</v>
      </c>
      <c r="G24" s="77"/>
      <c r="H24" s="77"/>
    </row>
    <row r="25" spans="1:8" ht="16.5" customHeight="1" x14ac:dyDescent="0.25">
      <c r="A25" s="57"/>
      <c r="B25" s="29"/>
      <c r="C25" s="30"/>
      <c r="D25" s="29"/>
      <c r="E25" s="58"/>
      <c r="F25" s="96"/>
      <c r="G25" s="97"/>
      <c r="H25" s="98"/>
    </row>
    <row r="26" spans="1:8" x14ac:dyDescent="0.25">
      <c r="A26" s="12"/>
      <c r="B26" s="16" t="s">
        <v>16</v>
      </c>
      <c r="C26" s="53">
        <f>SUM(E17:E24)</f>
        <v>33</v>
      </c>
      <c r="D26" s="4"/>
      <c r="E26" s="16" t="s">
        <v>20</v>
      </c>
      <c r="F26" s="102">
        <f>B12*C26</f>
        <v>16533</v>
      </c>
      <c r="G26" s="103"/>
      <c r="H26" s="19"/>
    </row>
    <row r="27" spans="1:8" x14ac:dyDescent="0.25">
      <c r="A27" s="12"/>
      <c r="B27" s="4"/>
      <c r="C27" s="6"/>
      <c r="D27" s="4"/>
      <c r="E27" s="4"/>
      <c r="F27" s="4"/>
      <c r="G27" s="4"/>
      <c r="H27" s="19"/>
    </row>
    <row r="28" spans="1:8" x14ac:dyDescent="0.25">
      <c r="A28" s="12"/>
      <c r="B28" s="4"/>
      <c r="C28" s="6"/>
      <c r="D28" s="4"/>
      <c r="E28" s="4"/>
      <c r="F28" s="4"/>
      <c r="G28" s="4"/>
      <c r="H28" s="13"/>
    </row>
    <row r="29" spans="1:8" x14ac:dyDescent="0.25">
      <c r="A29" s="12"/>
      <c r="B29" s="4"/>
      <c r="C29" s="6"/>
      <c r="D29" s="4"/>
      <c r="E29" s="4"/>
      <c r="F29" s="4"/>
      <c r="G29" s="4"/>
      <c r="H29" s="13"/>
    </row>
    <row r="30" spans="1:8" x14ac:dyDescent="0.25">
      <c r="A30" s="20" t="s">
        <v>21</v>
      </c>
      <c r="B30" s="3"/>
      <c r="C30" s="6"/>
      <c r="D30" s="4"/>
      <c r="E30" s="104" t="s">
        <v>23</v>
      </c>
      <c r="F30" s="104"/>
      <c r="G30" s="104"/>
      <c r="H30" s="105"/>
    </row>
    <row r="31" spans="1:8" x14ac:dyDescent="0.25">
      <c r="A31" s="106" t="s">
        <v>49</v>
      </c>
      <c r="B31" s="107"/>
      <c r="C31" s="107"/>
      <c r="D31" s="107"/>
      <c r="E31" s="107"/>
      <c r="F31" s="107"/>
      <c r="G31" s="107"/>
      <c r="H31" s="21"/>
    </row>
    <row r="32" spans="1:8" x14ac:dyDescent="0.25">
      <c r="A32" s="108" t="s">
        <v>24</v>
      </c>
      <c r="B32" s="109"/>
      <c r="C32" s="109"/>
      <c r="D32" s="109"/>
      <c r="E32" s="109"/>
      <c r="F32" s="109"/>
      <c r="G32" s="109"/>
      <c r="H32" s="22"/>
    </row>
    <row r="33" spans="1:8" x14ac:dyDescent="0.25">
      <c r="A33" s="35" t="s">
        <v>25</v>
      </c>
      <c r="B33" s="36"/>
      <c r="C33" s="23"/>
      <c r="D33" s="36"/>
      <c r="E33" s="36"/>
      <c r="F33" s="36"/>
      <c r="G33" s="36"/>
      <c r="H33" s="22"/>
    </row>
    <row r="34" spans="1:8" x14ac:dyDescent="0.25">
      <c r="A34" s="108" t="s">
        <v>26</v>
      </c>
      <c r="B34" s="109"/>
      <c r="C34" s="109"/>
      <c r="D34" s="109"/>
      <c r="E34" s="109"/>
      <c r="F34" s="109"/>
      <c r="G34" s="109"/>
      <c r="H34" s="22"/>
    </row>
    <row r="35" spans="1:8" x14ac:dyDescent="0.25">
      <c r="A35" s="12"/>
      <c r="B35" s="4"/>
      <c r="C35" s="6"/>
      <c r="D35" s="4"/>
      <c r="E35" s="4"/>
      <c r="F35" s="4"/>
      <c r="G35" s="4"/>
      <c r="H35" s="13"/>
    </row>
    <row r="36" spans="1:8" x14ac:dyDescent="0.25">
      <c r="A36" s="12"/>
      <c r="B36" s="4"/>
      <c r="C36" s="6"/>
      <c r="D36" s="4"/>
      <c r="E36" s="4"/>
      <c r="F36" s="4"/>
      <c r="G36" s="4"/>
      <c r="H36" s="13"/>
    </row>
    <row r="37" spans="1:8" ht="15.75" thickBot="1" x14ac:dyDescent="0.3">
      <c r="A37" s="24" t="s">
        <v>21</v>
      </c>
      <c r="B37" s="25"/>
      <c r="C37" s="26"/>
      <c r="D37" s="27"/>
      <c r="E37" s="99" t="s">
        <v>22</v>
      </c>
      <c r="F37" s="99"/>
      <c r="G37" s="99"/>
      <c r="H37" s="100"/>
    </row>
  </sheetData>
  <mergeCells count="29">
    <mergeCell ref="F22:H22"/>
    <mergeCell ref="F23:H23"/>
    <mergeCell ref="A34:G34"/>
    <mergeCell ref="E37:H37"/>
    <mergeCell ref="F26:G26"/>
    <mergeCell ref="E30:H30"/>
    <mergeCell ref="A31:G31"/>
    <mergeCell ref="A32:G32"/>
    <mergeCell ref="F24:H24"/>
    <mergeCell ref="F25:H25"/>
    <mergeCell ref="A15:A16"/>
    <mergeCell ref="B15:B16"/>
    <mergeCell ref="C15:C16"/>
    <mergeCell ref="D15:D16"/>
    <mergeCell ref="E15:E16"/>
    <mergeCell ref="F1:H1"/>
    <mergeCell ref="B2:H3"/>
    <mergeCell ref="C5:E5"/>
    <mergeCell ref="E7:H7"/>
    <mergeCell ref="E8:F8"/>
    <mergeCell ref="F21:H21"/>
    <mergeCell ref="F17:H17"/>
    <mergeCell ref="F18:H18"/>
    <mergeCell ref="F20:H20"/>
    <mergeCell ref="E9:H9"/>
    <mergeCell ref="E11:F11"/>
    <mergeCell ref="E12:F12"/>
    <mergeCell ref="F15:H16"/>
    <mergeCell ref="F19:H19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Word.Picture.8" shapeId="10242" r:id="rId3">
          <objectPr defaultSize="0" autoPict="0" r:id="rId4">
            <anchor moveWithCells="1" sizeWithCells="1">
              <from>
                <xdr:col>0</xdr:col>
                <xdr:colOff>76200</xdr:colOff>
                <xdr:row>0</xdr:row>
                <xdr:rowOff>133350</xdr:rowOff>
              </from>
              <to>
                <xdr:col>1</xdr:col>
                <xdr:colOff>0</xdr:colOff>
                <xdr:row>4</xdr:row>
                <xdr:rowOff>104775</xdr:rowOff>
              </to>
            </anchor>
          </objectPr>
        </oleObject>
      </mc:Choice>
      <mc:Fallback>
        <oleObject progId="Word.Picture.8" shapeId="10242" r:id="rId3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9"/>
  <sheetViews>
    <sheetView topLeftCell="A12" zoomScaleNormal="100" workbookViewId="0">
      <selection activeCell="K24" sqref="K24"/>
    </sheetView>
  </sheetViews>
  <sheetFormatPr defaultRowHeight="15" x14ac:dyDescent="0.25"/>
  <cols>
    <col min="1" max="1" width="15.28515625" customWidth="1"/>
    <col min="2" max="2" width="11.85546875" customWidth="1"/>
    <col min="3" max="3" width="10.5703125" customWidth="1"/>
    <col min="4" max="4" width="13.85546875" customWidth="1"/>
    <col min="8" max="8" width="63.140625" customWidth="1"/>
  </cols>
  <sheetData>
    <row r="1" spans="1:8" x14ac:dyDescent="0.25">
      <c r="A1" s="9"/>
      <c r="B1" s="10"/>
      <c r="C1" s="11"/>
      <c r="D1" s="10"/>
      <c r="E1" s="10"/>
      <c r="F1" s="83" t="s">
        <v>0</v>
      </c>
      <c r="G1" s="83"/>
      <c r="H1" s="84"/>
    </row>
    <row r="2" spans="1:8" x14ac:dyDescent="0.25">
      <c r="A2" s="12"/>
      <c r="B2" s="85" t="s">
        <v>1</v>
      </c>
      <c r="C2" s="86"/>
      <c r="D2" s="86"/>
      <c r="E2" s="86"/>
      <c r="F2" s="86"/>
      <c r="G2" s="86"/>
      <c r="H2" s="87"/>
    </row>
    <row r="3" spans="1:8" x14ac:dyDescent="0.25">
      <c r="A3" s="12"/>
      <c r="B3" s="88"/>
      <c r="C3" s="89"/>
      <c r="D3" s="89"/>
      <c r="E3" s="89"/>
      <c r="F3" s="89"/>
      <c r="G3" s="89"/>
      <c r="H3" s="90"/>
    </row>
    <row r="4" spans="1:8" x14ac:dyDescent="0.25">
      <c r="A4" s="12"/>
      <c r="B4" s="4"/>
      <c r="C4" s="6"/>
      <c r="D4" s="4"/>
      <c r="E4" s="4"/>
      <c r="F4" s="4"/>
      <c r="G4" s="4"/>
      <c r="H4" s="13"/>
    </row>
    <row r="5" spans="1:8" ht="18.75" x14ac:dyDescent="0.3">
      <c r="A5" s="12"/>
      <c r="B5" s="4"/>
      <c r="C5" s="91" t="s">
        <v>2</v>
      </c>
      <c r="D5" s="91"/>
      <c r="E5" s="91"/>
      <c r="F5" s="14"/>
      <c r="G5" s="14"/>
      <c r="H5" s="13"/>
    </row>
    <row r="6" spans="1:8" x14ac:dyDescent="0.25">
      <c r="A6" s="12"/>
      <c r="B6" s="4"/>
      <c r="C6" s="6"/>
      <c r="D6" s="4"/>
      <c r="E6" s="4"/>
      <c r="F6" s="4"/>
      <c r="G6" s="4"/>
      <c r="H6" s="13"/>
    </row>
    <row r="7" spans="1:8" x14ac:dyDescent="0.25">
      <c r="A7" s="15" t="s">
        <v>3</v>
      </c>
      <c r="B7" s="37">
        <v>137508</v>
      </c>
      <c r="C7" s="6"/>
      <c r="D7" s="16" t="s">
        <v>4</v>
      </c>
      <c r="E7" s="78" t="s">
        <v>35</v>
      </c>
      <c r="F7" s="81"/>
      <c r="G7" s="81"/>
      <c r="H7" s="82"/>
    </row>
    <row r="8" spans="1:8" x14ac:dyDescent="0.25">
      <c r="A8" s="15" t="s">
        <v>5</v>
      </c>
      <c r="B8" s="37" t="s">
        <v>48</v>
      </c>
      <c r="C8" s="6"/>
      <c r="D8" s="16" t="s">
        <v>6</v>
      </c>
      <c r="E8" s="78" t="s">
        <v>7</v>
      </c>
      <c r="F8" s="79"/>
      <c r="G8" s="4"/>
      <c r="H8" s="13"/>
    </row>
    <row r="9" spans="1:8" x14ac:dyDescent="0.25">
      <c r="A9" s="15" t="s">
        <v>9</v>
      </c>
      <c r="B9" s="37" t="s">
        <v>10</v>
      </c>
      <c r="C9" s="6"/>
      <c r="D9" s="16" t="s">
        <v>8</v>
      </c>
      <c r="E9" s="78" t="s">
        <v>27</v>
      </c>
      <c r="F9" s="81"/>
      <c r="G9" s="81"/>
      <c r="H9" s="82"/>
    </row>
    <row r="10" spans="1:8" x14ac:dyDescent="0.25">
      <c r="A10" s="12"/>
      <c r="B10" s="4"/>
      <c r="C10" s="6"/>
      <c r="D10" s="4"/>
      <c r="E10" s="4"/>
      <c r="F10" s="4"/>
      <c r="G10" s="4"/>
      <c r="H10" s="13"/>
    </row>
    <row r="11" spans="1:8" x14ac:dyDescent="0.25">
      <c r="A11" s="17" t="s">
        <v>11</v>
      </c>
      <c r="B11" s="37">
        <v>473</v>
      </c>
      <c r="C11" s="6"/>
      <c r="D11" s="2" t="s">
        <v>12</v>
      </c>
      <c r="E11" s="78">
        <v>28690</v>
      </c>
      <c r="F11" s="79"/>
      <c r="G11" s="16" t="s">
        <v>13</v>
      </c>
      <c r="H11" s="33">
        <v>12538</v>
      </c>
    </row>
    <row r="12" spans="1:8" x14ac:dyDescent="0.25">
      <c r="A12" s="17" t="s">
        <v>14</v>
      </c>
      <c r="B12" s="37">
        <v>396</v>
      </c>
      <c r="C12" s="6"/>
      <c r="D12" s="2" t="s">
        <v>33</v>
      </c>
      <c r="E12" s="80">
        <v>45383</v>
      </c>
      <c r="F12" s="79"/>
      <c r="G12" s="4"/>
      <c r="H12" s="13"/>
    </row>
    <row r="13" spans="1:8" x14ac:dyDescent="0.25">
      <c r="A13" s="12"/>
      <c r="B13" s="4"/>
      <c r="C13" s="6"/>
      <c r="D13" s="4"/>
      <c r="E13" s="4"/>
      <c r="F13" s="4"/>
      <c r="G13" s="4"/>
      <c r="H13" s="13"/>
    </row>
    <row r="14" spans="1:8" ht="15.75" thickBot="1" x14ac:dyDescent="0.3">
      <c r="A14" s="12"/>
      <c r="B14" s="4"/>
      <c r="C14" s="6"/>
      <c r="D14" s="4"/>
      <c r="E14" s="4"/>
      <c r="F14" s="4"/>
      <c r="G14" s="4"/>
      <c r="H14" s="13"/>
    </row>
    <row r="15" spans="1:8" x14ac:dyDescent="0.25">
      <c r="A15" s="113" t="s">
        <v>19</v>
      </c>
      <c r="B15" s="113" t="s">
        <v>18</v>
      </c>
      <c r="C15" s="123" t="s">
        <v>17</v>
      </c>
      <c r="D15" s="113" t="s">
        <v>16</v>
      </c>
      <c r="E15" s="113" t="s">
        <v>32</v>
      </c>
      <c r="F15" s="115" t="s">
        <v>15</v>
      </c>
      <c r="G15" s="116"/>
      <c r="H15" s="117"/>
    </row>
    <row r="16" spans="1:8" x14ac:dyDescent="0.25">
      <c r="A16" s="114"/>
      <c r="B16" s="114"/>
      <c r="C16" s="124"/>
      <c r="D16" s="114"/>
      <c r="E16" s="114"/>
      <c r="F16" s="118"/>
      <c r="G16" s="119"/>
      <c r="H16" s="120"/>
    </row>
    <row r="17" spans="1:8" ht="32.25" customHeight="1" x14ac:dyDescent="0.25">
      <c r="A17" s="52" t="s">
        <v>55</v>
      </c>
      <c r="B17" s="29">
        <v>0.35416666666666669</v>
      </c>
      <c r="C17" s="30">
        <v>0.75</v>
      </c>
      <c r="D17" s="29">
        <v>0.39583333333333331</v>
      </c>
      <c r="E17" s="66">
        <v>1.5</v>
      </c>
      <c r="F17" s="77" t="s">
        <v>57</v>
      </c>
      <c r="G17" s="77"/>
      <c r="H17" s="77"/>
    </row>
    <row r="18" spans="1:8" ht="32.25" customHeight="1" x14ac:dyDescent="0.25">
      <c r="A18" s="52" t="s">
        <v>58</v>
      </c>
      <c r="B18" s="29">
        <v>0.35416666666666669</v>
      </c>
      <c r="C18" s="30">
        <v>0.79166666666666663</v>
      </c>
      <c r="D18" s="29">
        <v>0.4375</v>
      </c>
      <c r="E18" s="73">
        <v>2.5</v>
      </c>
      <c r="F18" s="77" t="s">
        <v>60</v>
      </c>
      <c r="G18" s="77"/>
      <c r="H18" s="77"/>
    </row>
    <row r="19" spans="1:8" ht="23.25" customHeight="1" x14ac:dyDescent="0.25">
      <c r="A19" s="57" t="s">
        <v>62</v>
      </c>
      <c r="B19" s="29">
        <v>0.35416666666666669</v>
      </c>
      <c r="C19" s="30">
        <v>0.72916666666666663</v>
      </c>
      <c r="D19" s="29">
        <v>0.375</v>
      </c>
      <c r="E19" s="66">
        <v>1</v>
      </c>
      <c r="F19" s="77" t="s">
        <v>63</v>
      </c>
      <c r="G19" s="101"/>
      <c r="H19" s="101"/>
    </row>
    <row r="20" spans="1:8" ht="21" customHeight="1" x14ac:dyDescent="0.25">
      <c r="A20" s="52" t="s">
        <v>64</v>
      </c>
      <c r="B20" s="29">
        <v>0.35416666666666669</v>
      </c>
      <c r="C20" s="30">
        <v>0.75</v>
      </c>
      <c r="D20" s="29">
        <v>0.39583333333333331</v>
      </c>
      <c r="E20" s="73">
        <v>1.5</v>
      </c>
      <c r="F20" s="77" t="s">
        <v>65</v>
      </c>
      <c r="G20" s="77"/>
      <c r="H20" s="77"/>
    </row>
    <row r="21" spans="1:8" ht="35.25" customHeight="1" x14ac:dyDescent="0.25">
      <c r="A21" s="57" t="s">
        <v>69</v>
      </c>
      <c r="B21" s="29">
        <v>0.5</v>
      </c>
      <c r="C21" s="30">
        <v>0.875</v>
      </c>
      <c r="D21" s="29">
        <v>0.375</v>
      </c>
      <c r="E21" s="73">
        <v>8</v>
      </c>
      <c r="F21" s="77" t="s">
        <v>70</v>
      </c>
      <c r="G21" s="101"/>
      <c r="H21" s="101"/>
    </row>
    <row r="22" spans="1:8" ht="19.5" customHeight="1" x14ac:dyDescent="0.25">
      <c r="A22" s="57" t="s">
        <v>81</v>
      </c>
      <c r="B22" s="29">
        <v>0.35416666666666669</v>
      </c>
      <c r="C22" s="30">
        <v>0.85416666666666663</v>
      </c>
      <c r="D22" s="29">
        <v>0.5</v>
      </c>
      <c r="E22" s="70">
        <v>3.5</v>
      </c>
      <c r="F22" s="77" t="s">
        <v>82</v>
      </c>
      <c r="G22" s="101"/>
      <c r="H22" s="101"/>
    </row>
    <row r="23" spans="1:8" ht="18" customHeight="1" x14ac:dyDescent="0.25">
      <c r="A23" s="57" t="s">
        <v>83</v>
      </c>
      <c r="B23" s="29">
        <v>0.35416666666666669</v>
      </c>
      <c r="C23" s="30">
        <v>0.72916666666666663</v>
      </c>
      <c r="D23" s="29">
        <v>0.375</v>
      </c>
      <c r="E23" s="71">
        <v>1</v>
      </c>
      <c r="F23" s="77" t="s">
        <v>74</v>
      </c>
      <c r="G23" s="77"/>
      <c r="H23" s="77"/>
    </row>
    <row r="24" spans="1:8" ht="19.5" customHeight="1" x14ac:dyDescent="0.25">
      <c r="A24" s="57" t="s">
        <v>86</v>
      </c>
      <c r="B24" s="29">
        <v>0.35416666666666669</v>
      </c>
      <c r="C24" s="30">
        <v>0.72916666666666663</v>
      </c>
      <c r="D24" s="29">
        <v>0.375</v>
      </c>
      <c r="E24" s="71">
        <v>1</v>
      </c>
      <c r="F24" s="77" t="s">
        <v>87</v>
      </c>
      <c r="G24" s="77"/>
      <c r="H24" s="77"/>
    </row>
    <row r="25" spans="1:8" ht="17.25" customHeight="1" x14ac:dyDescent="0.25">
      <c r="A25" s="57" t="s">
        <v>91</v>
      </c>
      <c r="B25" s="29">
        <v>0.3125</v>
      </c>
      <c r="C25" s="30">
        <v>0.83333333333333337</v>
      </c>
      <c r="D25" s="29">
        <v>0.52083333333333337</v>
      </c>
      <c r="E25" s="75">
        <v>4</v>
      </c>
      <c r="F25" s="77" t="s">
        <v>92</v>
      </c>
      <c r="G25" s="77"/>
      <c r="H25" s="77"/>
    </row>
    <row r="26" spans="1:8" ht="20.25" customHeight="1" x14ac:dyDescent="0.25">
      <c r="A26" s="57" t="s">
        <v>97</v>
      </c>
      <c r="B26" s="29">
        <v>0.35416666666666669</v>
      </c>
      <c r="C26" s="30">
        <v>0.77083333333333337</v>
      </c>
      <c r="D26" s="29">
        <v>0.41666666666666669</v>
      </c>
      <c r="E26" s="76">
        <v>2</v>
      </c>
      <c r="F26" s="77" t="s">
        <v>98</v>
      </c>
      <c r="G26" s="77"/>
      <c r="H26" s="77"/>
    </row>
    <row r="27" spans="1:8" x14ac:dyDescent="0.25">
      <c r="A27" s="12"/>
      <c r="B27" s="4"/>
      <c r="C27" s="6"/>
      <c r="D27" s="4"/>
      <c r="E27" s="4"/>
      <c r="F27" s="8"/>
      <c r="G27" s="8"/>
      <c r="H27" s="18"/>
    </row>
    <row r="28" spans="1:8" x14ac:dyDescent="0.25">
      <c r="A28" s="12"/>
      <c r="B28" s="16" t="s">
        <v>16</v>
      </c>
      <c r="C28" s="7">
        <f>SUM(E17:E26)</f>
        <v>26</v>
      </c>
      <c r="D28" s="4"/>
      <c r="E28" s="16" t="s">
        <v>20</v>
      </c>
      <c r="F28" s="78">
        <f>B12*C28</f>
        <v>10296</v>
      </c>
      <c r="G28" s="79"/>
      <c r="H28" s="19"/>
    </row>
    <row r="29" spans="1:8" x14ac:dyDescent="0.25">
      <c r="A29" s="12"/>
      <c r="B29" s="4"/>
      <c r="C29" s="6"/>
      <c r="D29" s="4"/>
      <c r="E29" s="4"/>
      <c r="F29" s="4"/>
      <c r="G29" s="4"/>
      <c r="H29" s="13"/>
    </row>
    <row r="30" spans="1:8" x14ac:dyDescent="0.25">
      <c r="A30" s="12"/>
      <c r="B30" s="4"/>
      <c r="C30" s="6"/>
      <c r="D30" s="4"/>
      <c r="E30" s="4"/>
      <c r="F30" s="4"/>
      <c r="G30" s="4"/>
      <c r="H30" s="13"/>
    </row>
    <row r="31" spans="1:8" x14ac:dyDescent="0.25">
      <c r="A31" s="12"/>
      <c r="B31" s="4"/>
      <c r="C31" s="6"/>
      <c r="D31" s="4"/>
      <c r="E31" s="4"/>
      <c r="F31" s="4"/>
      <c r="G31" s="4"/>
      <c r="H31" s="13"/>
    </row>
    <row r="32" spans="1:8" x14ac:dyDescent="0.25">
      <c r="A32" s="20" t="s">
        <v>21</v>
      </c>
      <c r="B32" s="3"/>
      <c r="C32" s="6"/>
      <c r="D32" s="4"/>
      <c r="E32" s="104" t="s">
        <v>23</v>
      </c>
      <c r="F32" s="104"/>
      <c r="G32" s="104"/>
      <c r="H32" s="105"/>
    </row>
    <row r="33" spans="1:8" x14ac:dyDescent="0.25">
      <c r="A33" s="106" t="s">
        <v>49</v>
      </c>
      <c r="B33" s="107"/>
      <c r="C33" s="107"/>
      <c r="D33" s="107"/>
      <c r="E33" s="107"/>
      <c r="F33" s="107"/>
      <c r="G33" s="107"/>
      <c r="H33" s="21"/>
    </row>
    <row r="34" spans="1:8" x14ac:dyDescent="0.25">
      <c r="A34" s="108" t="s">
        <v>24</v>
      </c>
      <c r="B34" s="109"/>
      <c r="C34" s="109"/>
      <c r="D34" s="109"/>
      <c r="E34" s="109"/>
      <c r="F34" s="109"/>
      <c r="G34" s="109"/>
      <c r="H34" s="22"/>
    </row>
    <row r="35" spans="1:8" x14ac:dyDescent="0.25">
      <c r="A35" s="35" t="s">
        <v>25</v>
      </c>
      <c r="B35" s="36"/>
      <c r="C35" s="23"/>
      <c r="D35" s="36"/>
      <c r="E35" s="36"/>
      <c r="F35" s="36"/>
      <c r="G35" s="36"/>
      <c r="H35" s="22"/>
    </row>
    <row r="36" spans="1:8" x14ac:dyDescent="0.25">
      <c r="A36" s="108" t="s">
        <v>26</v>
      </c>
      <c r="B36" s="109"/>
      <c r="C36" s="109"/>
      <c r="D36" s="109"/>
      <c r="E36" s="109"/>
      <c r="F36" s="109"/>
      <c r="G36" s="109"/>
      <c r="H36" s="22"/>
    </row>
    <row r="37" spans="1:8" x14ac:dyDescent="0.25">
      <c r="A37" s="12"/>
      <c r="B37" s="4"/>
      <c r="C37" s="6"/>
      <c r="D37" s="4"/>
      <c r="E37" s="4"/>
      <c r="F37" s="4"/>
      <c r="G37" s="4"/>
      <c r="H37" s="13"/>
    </row>
    <row r="38" spans="1:8" x14ac:dyDescent="0.25">
      <c r="A38" s="12"/>
      <c r="B38" s="4"/>
      <c r="C38" s="6"/>
      <c r="D38" s="4"/>
      <c r="E38" s="4"/>
      <c r="F38" s="4"/>
      <c r="G38" s="4"/>
      <c r="H38" s="13"/>
    </row>
    <row r="39" spans="1:8" ht="15.75" thickBot="1" x14ac:dyDescent="0.3">
      <c r="A39" s="24" t="s">
        <v>21</v>
      </c>
      <c r="B39" s="25"/>
      <c r="C39" s="26"/>
      <c r="D39" s="27"/>
      <c r="E39" s="99" t="s">
        <v>22</v>
      </c>
      <c r="F39" s="99"/>
      <c r="G39" s="99"/>
      <c r="H39" s="100"/>
    </row>
  </sheetData>
  <mergeCells count="30">
    <mergeCell ref="F25:H25"/>
    <mergeCell ref="A36:G36"/>
    <mergeCell ref="E39:H39"/>
    <mergeCell ref="F28:G28"/>
    <mergeCell ref="E32:H32"/>
    <mergeCell ref="A33:G33"/>
    <mergeCell ref="A34:G34"/>
    <mergeCell ref="F26:H26"/>
    <mergeCell ref="F21:H21"/>
    <mergeCell ref="A15:A16"/>
    <mergeCell ref="B15:B16"/>
    <mergeCell ref="C15:C16"/>
    <mergeCell ref="D15:D16"/>
    <mergeCell ref="E15:E16"/>
    <mergeCell ref="F24:H24"/>
    <mergeCell ref="F1:H1"/>
    <mergeCell ref="B2:H3"/>
    <mergeCell ref="C5:E5"/>
    <mergeCell ref="E7:H7"/>
    <mergeCell ref="E8:F8"/>
    <mergeCell ref="F22:H22"/>
    <mergeCell ref="F23:H23"/>
    <mergeCell ref="F19:H19"/>
    <mergeCell ref="E9:H9"/>
    <mergeCell ref="E11:F11"/>
    <mergeCell ref="E12:F12"/>
    <mergeCell ref="F15:H16"/>
    <mergeCell ref="F20:H20"/>
    <mergeCell ref="F17:H17"/>
    <mergeCell ref="F18:H18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Word.Picture.8" shapeId="12289" r:id="rId3">
          <objectPr defaultSize="0" autoPict="0" r:id="rId4">
            <anchor moveWithCells="1" sizeWithCells="1">
              <from>
                <xdr:col>0</xdr:col>
                <xdr:colOff>76200</xdr:colOff>
                <xdr:row>0</xdr:row>
                <xdr:rowOff>133350</xdr:rowOff>
              </from>
              <to>
                <xdr:col>1</xdr:col>
                <xdr:colOff>0</xdr:colOff>
                <xdr:row>4</xdr:row>
                <xdr:rowOff>104775</xdr:rowOff>
              </to>
            </anchor>
          </objectPr>
        </oleObject>
      </mc:Choice>
      <mc:Fallback>
        <oleObject progId="Word.Picture.8" shapeId="12289" r:id="rId3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7"/>
  <sheetViews>
    <sheetView topLeftCell="A15" zoomScaleNormal="100" workbookViewId="0">
      <selection activeCell="L19" sqref="L19"/>
    </sheetView>
  </sheetViews>
  <sheetFormatPr defaultRowHeight="15" x14ac:dyDescent="0.25"/>
  <cols>
    <col min="1" max="1" width="14.7109375" customWidth="1"/>
    <col min="2" max="2" width="11.5703125" customWidth="1"/>
    <col min="3" max="3" width="11.28515625" customWidth="1"/>
    <col min="4" max="4" width="13.85546875" customWidth="1"/>
    <col min="8" max="8" width="62.140625" customWidth="1"/>
  </cols>
  <sheetData>
    <row r="1" spans="1:8" x14ac:dyDescent="0.25">
      <c r="A1" s="9"/>
      <c r="B1" s="10"/>
      <c r="C1" s="11"/>
      <c r="D1" s="10"/>
      <c r="E1" s="10"/>
      <c r="F1" s="83" t="s">
        <v>0</v>
      </c>
      <c r="G1" s="83"/>
      <c r="H1" s="84"/>
    </row>
    <row r="2" spans="1:8" x14ac:dyDescent="0.25">
      <c r="A2" s="12"/>
      <c r="B2" s="85" t="s">
        <v>1</v>
      </c>
      <c r="C2" s="86"/>
      <c r="D2" s="86"/>
      <c r="E2" s="86"/>
      <c r="F2" s="86"/>
      <c r="G2" s="86"/>
      <c r="H2" s="87"/>
    </row>
    <row r="3" spans="1:8" x14ac:dyDescent="0.25">
      <c r="A3" s="12"/>
      <c r="B3" s="88"/>
      <c r="C3" s="89"/>
      <c r="D3" s="89"/>
      <c r="E3" s="89"/>
      <c r="F3" s="89"/>
      <c r="G3" s="89"/>
      <c r="H3" s="90"/>
    </row>
    <row r="4" spans="1:8" x14ac:dyDescent="0.25">
      <c r="A4" s="12"/>
      <c r="B4" s="4"/>
      <c r="C4" s="6"/>
      <c r="D4" s="4"/>
      <c r="E4" s="4"/>
      <c r="F4" s="4"/>
      <c r="G4" s="4"/>
      <c r="H4" s="13"/>
    </row>
    <row r="5" spans="1:8" ht="18.75" x14ac:dyDescent="0.3">
      <c r="A5" s="12"/>
      <c r="B5" s="4"/>
      <c r="C5" s="91" t="s">
        <v>2</v>
      </c>
      <c r="D5" s="91"/>
      <c r="E5" s="91"/>
      <c r="F5" s="14"/>
      <c r="G5" s="14"/>
      <c r="H5" s="13"/>
    </row>
    <row r="6" spans="1:8" x14ac:dyDescent="0.25">
      <c r="A6" s="12"/>
      <c r="B6" s="4"/>
      <c r="C6" s="6"/>
      <c r="D6" s="4"/>
      <c r="E6" s="4"/>
      <c r="F6" s="4"/>
      <c r="G6" s="4"/>
      <c r="H6" s="13"/>
    </row>
    <row r="7" spans="1:8" x14ac:dyDescent="0.25">
      <c r="A7" s="15" t="s">
        <v>3</v>
      </c>
      <c r="B7" s="37">
        <v>137500</v>
      </c>
      <c r="C7" s="6"/>
      <c r="D7" s="16" t="s">
        <v>4</v>
      </c>
      <c r="E7" s="78" t="s">
        <v>36</v>
      </c>
      <c r="F7" s="81"/>
      <c r="G7" s="81"/>
      <c r="H7" s="82"/>
    </row>
    <row r="8" spans="1:8" x14ac:dyDescent="0.25">
      <c r="A8" s="15" t="s">
        <v>5</v>
      </c>
      <c r="B8" s="37" t="s">
        <v>48</v>
      </c>
      <c r="C8" s="6"/>
      <c r="D8" s="16" t="s">
        <v>6</v>
      </c>
      <c r="E8" s="78" t="s">
        <v>7</v>
      </c>
      <c r="F8" s="79"/>
      <c r="G8" s="4"/>
      <c r="H8" s="13"/>
    </row>
    <row r="9" spans="1:8" x14ac:dyDescent="0.25">
      <c r="A9" s="15" t="s">
        <v>9</v>
      </c>
      <c r="B9" s="37" t="s">
        <v>10</v>
      </c>
      <c r="C9" s="6"/>
      <c r="D9" s="16" t="s">
        <v>8</v>
      </c>
      <c r="E9" s="78" t="s">
        <v>27</v>
      </c>
      <c r="F9" s="81"/>
      <c r="G9" s="81"/>
      <c r="H9" s="82"/>
    </row>
    <row r="10" spans="1:8" x14ac:dyDescent="0.25">
      <c r="A10" s="12"/>
      <c r="B10" s="4"/>
      <c r="C10" s="6"/>
      <c r="D10" s="4"/>
      <c r="E10" s="4"/>
      <c r="F10" s="4"/>
      <c r="G10" s="4"/>
      <c r="H10" s="13"/>
    </row>
    <row r="11" spans="1:8" x14ac:dyDescent="0.25">
      <c r="A11" s="17" t="s">
        <v>11</v>
      </c>
      <c r="B11" s="37">
        <v>473</v>
      </c>
      <c r="C11" s="6"/>
      <c r="D11" s="2" t="s">
        <v>12</v>
      </c>
      <c r="E11" s="78">
        <v>28690</v>
      </c>
      <c r="F11" s="79"/>
      <c r="G11" s="16" t="s">
        <v>13</v>
      </c>
      <c r="H11" s="56">
        <v>12538</v>
      </c>
    </row>
    <row r="12" spans="1:8" x14ac:dyDescent="0.25">
      <c r="A12" s="17" t="s">
        <v>14</v>
      </c>
      <c r="B12" s="37">
        <v>396</v>
      </c>
      <c r="C12" s="6"/>
      <c r="D12" s="2" t="s">
        <v>33</v>
      </c>
      <c r="E12" s="80">
        <v>45383</v>
      </c>
      <c r="F12" s="79"/>
      <c r="G12" s="4"/>
      <c r="H12" s="13"/>
    </row>
    <row r="13" spans="1:8" x14ac:dyDescent="0.25">
      <c r="A13" s="12"/>
      <c r="B13" s="4"/>
      <c r="C13" s="6"/>
      <c r="D13" s="4"/>
      <c r="E13" s="4"/>
      <c r="F13" s="4"/>
      <c r="G13" s="4"/>
      <c r="H13" s="13"/>
    </row>
    <row r="14" spans="1:8" ht="15.75" thickBot="1" x14ac:dyDescent="0.3">
      <c r="A14" s="12"/>
      <c r="B14" s="4"/>
      <c r="C14" s="6"/>
      <c r="D14" s="4"/>
      <c r="E14" s="4"/>
      <c r="F14" s="4"/>
      <c r="G14" s="4"/>
      <c r="H14" s="13"/>
    </row>
    <row r="15" spans="1:8" x14ac:dyDescent="0.25">
      <c r="A15" s="113" t="s">
        <v>19</v>
      </c>
      <c r="B15" s="113" t="s">
        <v>18</v>
      </c>
      <c r="C15" s="123" t="s">
        <v>17</v>
      </c>
      <c r="D15" s="113" t="s">
        <v>16</v>
      </c>
      <c r="E15" s="113" t="s">
        <v>32</v>
      </c>
      <c r="F15" s="115" t="s">
        <v>15</v>
      </c>
      <c r="G15" s="116"/>
      <c r="H15" s="117"/>
    </row>
    <row r="16" spans="1:8" x14ac:dyDescent="0.25">
      <c r="A16" s="114"/>
      <c r="B16" s="114"/>
      <c r="C16" s="124"/>
      <c r="D16" s="114"/>
      <c r="E16" s="114"/>
      <c r="F16" s="118"/>
      <c r="G16" s="119"/>
      <c r="H16" s="120"/>
    </row>
    <row r="17" spans="1:8" ht="37.5" customHeight="1" x14ac:dyDescent="0.25">
      <c r="A17" s="52" t="s">
        <v>55</v>
      </c>
      <c r="B17" s="29">
        <v>0.35416666666666669</v>
      </c>
      <c r="C17" s="30">
        <v>0.79166666666666663</v>
      </c>
      <c r="D17" s="29">
        <v>0.4375</v>
      </c>
      <c r="E17" s="72">
        <v>2.5</v>
      </c>
      <c r="F17" s="77" t="s">
        <v>56</v>
      </c>
      <c r="G17" s="77"/>
      <c r="H17" s="77"/>
    </row>
    <row r="18" spans="1:8" ht="23.25" customHeight="1" x14ac:dyDescent="0.25">
      <c r="A18" s="57" t="s">
        <v>58</v>
      </c>
      <c r="B18" s="29">
        <v>0.35416666666666669</v>
      </c>
      <c r="C18" s="30">
        <v>0.75</v>
      </c>
      <c r="D18" s="29">
        <v>0.39583333333333331</v>
      </c>
      <c r="E18" s="66">
        <v>1.5</v>
      </c>
      <c r="F18" s="77" t="s">
        <v>59</v>
      </c>
      <c r="G18" s="101"/>
      <c r="H18" s="101"/>
    </row>
    <row r="19" spans="1:8" ht="35.25" customHeight="1" x14ac:dyDescent="0.25">
      <c r="A19" s="52" t="s">
        <v>64</v>
      </c>
      <c r="B19" s="29">
        <v>0.3125</v>
      </c>
      <c r="C19" s="30">
        <v>0.875</v>
      </c>
      <c r="D19" s="29">
        <v>0.5625</v>
      </c>
      <c r="E19" s="73">
        <v>5</v>
      </c>
      <c r="F19" s="77" t="s">
        <v>66</v>
      </c>
      <c r="G19" s="77"/>
      <c r="H19" s="77"/>
    </row>
    <row r="20" spans="1:8" ht="30.75" customHeight="1" x14ac:dyDescent="0.25">
      <c r="A20" s="57" t="s">
        <v>67</v>
      </c>
      <c r="B20" s="29">
        <v>0.35416666666666669</v>
      </c>
      <c r="C20" s="30">
        <v>0.72916666666666663</v>
      </c>
      <c r="D20" s="29">
        <v>0.375</v>
      </c>
      <c r="E20" s="73">
        <v>1</v>
      </c>
      <c r="F20" s="77" t="s">
        <v>68</v>
      </c>
      <c r="G20" s="101"/>
      <c r="H20" s="101"/>
    </row>
    <row r="21" spans="1:8" ht="33" customHeight="1" x14ac:dyDescent="0.25">
      <c r="A21" s="52" t="s">
        <v>75</v>
      </c>
      <c r="B21" s="29">
        <v>0.35416666666666669</v>
      </c>
      <c r="C21" s="30">
        <v>0.75</v>
      </c>
      <c r="D21" s="29">
        <v>0.39583333333333331</v>
      </c>
      <c r="E21" s="74">
        <v>1.5</v>
      </c>
      <c r="F21" s="77" t="s">
        <v>76</v>
      </c>
      <c r="G21" s="77"/>
      <c r="H21" s="77"/>
    </row>
    <row r="22" spans="1:8" ht="44.25" customHeight="1" x14ac:dyDescent="0.25">
      <c r="A22" s="57" t="s">
        <v>89</v>
      </c>
      <c r="B22" s="29">
        <v>0.3125</v>
      </c>
      <c r="C22" s="30">
        <v>0.91666666666666663</v>
      </c>
      <c r="D22" s="29">
        <v>0.60416666666666663</v>
      </c>
      <c r="E22" s="75">
        <v>6</v>
      </c>
      <c r="F22" s="77" t="s">
        <v>90</v>
      </c>
      <c r="G22" s="101"/>
      <c r="H22" s="101"/>
    </row>
    <row r="23" spans="1:8" ht="45" customHeight="1" x14ac:dyDescent="0.25">
      <c r="A23" s="57" t="s">
        <v>96</v>
      </c>
      <c r="B23" s="29">
        <v>0.3125</v>
      </c>
      <c r="C23" s="30">
        <v>0.70833333333333337</v>
      </c>
      <c r="D23" s="29">
        <v>0.39583333333333331</v>
      </c>
      <c r="E23" s="76">
        <v>1.5</v>
      </c>
      <c r="F23" s="77" t="s">
        <v>95</v>
      </c>
      <c r="G23" s="77"/>
      <c r="H23" s="77"/>
    </row>
    <row r="24" spans="1:8" ht="24" customHeight="1" x14ac:dyDescent="0.25">
      <c r="A24" s="52"/>
      <c r="B24" s="29"/>
      <c r="C24" s="30"/>
      <c r="D24" s="29"/>
      <c r="E24" s="63"/>
      <c r="F24" s="77"/>
      <c r="G24" s="77"/>
      <c r="H24" s="77"/>
    </row>
    <row r="25" spans="1:8" ht="18.75" customHeight="1" x14ac:dyDescent="0.25">
      <c r="A25" s="52"/>
      <c r="B25" s="29"/>
      <c r="C25" s="30"/>
      <c r="D25" s="29"/>
      <c r="E25" s="63"/>
      <c r="F25" s="96"/>
      <c r="G25" s="97"/>
      <c r="H25" s="98"/>
    </row>
    <row r="26" spans="1:8" x14ac:dyDescent="0.25">
      <c r="A26" s="12"/>
      <c r="B26" s="16" t="s">
        <v>16</v>
      </c>
      <c r="C26" s="53">
        <f>SUM(E17:E25)</f>
        <v>19</v>
      </c>
      <c r="D26" s="4"/>
      <c r="E26" s="16" t="s">
        <v>20</v>
      </c>
      <c r="F26" s="102">
        <f>B12*C26</f>
        <v>7524</v>
      </c>
      <c r="G26" s="103"/>
      <c r="H26" s="19"/>
    </row>
    <row r="27" spans="1:8" x14ac:dyDescent="0.25">
      <c r="A27" s="12"/>
      <c r="B27" s="4"/>
      <c r="C27" s="6"/>
      <c r="D27" s="4"/>
      <c r="E27" s="4"/>
      <c r="F27" s="4"/>
      <c r="G27" s="4"/>
      <c r="H27" s="13"/>
    </row>
    <row r="28" spans="1:8" x14ac:dyDescent="0.25">
      <c r="A28" s="12"/>
      <c r="B28" s="4"/>
      <c r="C28" s="6"/>
      <c r="D28" s="4"/>
      <c r="E28" s="4"/>
      <c r="F28" s="4"/>
      <c r="G28" s="4"/>
      <c r="H28" s="13"/>
    </row>
    <row r="29" spans="1:8" x14ac:dyDescent="0.25">
      <c r="A29" s="12"/>
      <c r="B29" s="4"/>
      <c r="C29" s="6"/>
      <c r="D29" s="4"/>
      <c r="E29" s="4"/>
      <c r="F29" s="4"/>
      <c r="G29" s="4"/>
      <c r="H29" s="13"/>
    </row>
    <row r="30" spans="1:8" x14ac:dyDescent="0.25">
      <c r="A30" s="20" t="s">
        <v>21</v>
      </c>
      <c r="B30" s="3"/>
      <c r="C30" s="6"/>
      <c r="D30" s="4"/>
      <c r="E30" s="104" t="s">
        <v>23</v>
      </c>
      <c r="F30" s="104"/>
      <c r="G30" s="104"/>
      <c r="H30" s="105"/>
    </row>
    <row r="31" spans="1:8" x14ac:dyDescent="0.25">
      <c r="A31" s="106" t="s">
        <v>49</v>
      </c>
      <c r="B31" s="107"/>
      <c r="C31" s="107"/>
      <c r="D31" s="107"/>
      <c r="E31" s="107"/>
      <c r="F31" s="107"/>
      <c r="G31" s="107"/>
      <c r="H31" s="21"/>
    </row>
    <row r="32" spans="1:8" x14ac:dyDescent="0.25">
      <c r="A32" s="108" t="s">
        <v>24</v>
      </c>
      <c r="B32" s="109"/>
      <c r="C32" s="109"/>
      <c r="D32" s="109"/>
      <c r="E32" s="109"/>
      <c r="F32" s="109"/>
      <c r="G32" s="109"/>
      <c r="H32" s="22"/>
    </row>
    <row r="33" spans="1:8" x14ac:dyDescent="0.25">
      <c r="A33" s="35" t="s">
        <v>25</v>
      </c>
      <c r="B33" s="36"/>
      <c r="C33" s="23"/>
      <c r="D33" s="36"/>
      <c r="E33" s="36"/>
      <c r="F33" s="36"/>
      <c r="G33" s="36"/>
      <c r="H33" s="22"/>
    </row>
    <row r="34" spans="1:8" x14ac:dyDescent="0.25">
      <c r="A34" s="108" t="s">
        <v>26</v>
      </c>
      <c r="B34" s="109"/>
      <c r="C34" s="109"/>
      <c r="D34" s="109"/>
      <c r="E34" s="109"/>
      <c r="F34" s="109"/>
      <c r="G34" s="109"/>
      <c r="H34" s="22"/>
    </row>
    <row r="35" spans="1:8" x14ac:dyDescent="0.25">
      <c r="A35" s="12"/>
      <c r="B35" s="4"/>
      <c r="C35" s="6"/>
      <c r="D35" s="4"/>
      <c r="E35" s="4"/>
      <c r="F35" s="4"/>
      <c r="G35" s="4"/>
      <c r="H35" s="13"/>
    </row>
    <row r="36" spans="1:8" x14ac:dyDescent="0.25">
      <c r="A36" s="12"/>
      <c r="B36" s="4"/>
      <c r="C36" s="6"/>
      <c r="D36" s="4"/>
      <c r="E36" s="4"/>
      <c r="F36" s="4"/>
      <c r="G36" s="4"/>
      <c r="H36" s="13"/>
    </row>
    <row r="37" spans="1:8" ht="15.75" thickBot="1" x14ac:dyDescent="0.3">
      <c r="A37" s="24" t="s">
        <v>21</v>
      </c>
      <c r="B37" s="25"/>
      <c r="C37" s="26"/>
      <c r="D37" s="27"/>
      <c r="E37" s="99" t="s">
        <v>22</v>
      </c>
      <c r="F37" s="99"/>
      <c r="G37" s="99"/>
      <c r="H37" s="100"/>
    </row>
  </sheetData>
  <mergeCells count="29">
    <mergeCell ref="F18:H18"/>
    <mergeCell ref="F19:H19"/>
    <mergeCell ref="F20:H20"/>
    <mergeCell ref="A34:G34"/>
    <mergeCell ref="F21:H21"/>
    <mergeCell ref="F23:H23"/>
    <mergeCell ref="F22:H22"/>
    <mergeCell ref="F24:H24"/>
    <mergeCell ref="F25:H25"/>
    <mergeCell ref="E37:H37"/>
    <mergeCell ref="F26:G26"/>
    <mergeCell ref="E30:H30"/>
    <mergeCell ref="A31:G31"/>
    <mergeCell ref="A32:G32"/>
    <mergeCell ref="A15:A16"/>
    <mergeCell ref="B15:B16"/>
    <mergeCell ref="C15:C16"/>
    <mergeCell ref="D15:D16"/>
    <mergeCell ref="E15:E16"/>
    <mergeCell ref="F17:H17"/>
    <mergeCell ref="E9:H9"/>
    <mergeCell ref="F1:H1"/>
    <mergeCell ref="B2:H3"/>
    <mergeCell ref="C5:E5"/>
    <mergeCell ref="E7:H7"/>
    <mergeCell ref="E8:F8"/>
    <mergeCell ref="E11:F11"/>
    <mergeCell ref="E12:F12"/>
    <mergeCell ref="F15:H16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Word.Picture.8" shapeId="13313" r:id="rId3">
          <objectPr defaultSize="0" autoPict="0" r:id="rId4">
            <anchor moveWithCells="1" sizeWithCells="1">
              <from>
                <xdr:col>0</xdr:col>
                <xdr:colOff>76200</xdr:colOff>
                <xdr:row>0</xdr:row>
                <xdr:rowOff>133350</xdr:rowOff>
              </from>
              <to>
                <xdr:col>1</xdr:col>
                <xdr:colOff>0</xdr:colOff>
                <xdr:row>4</xdr:row>
                <xdr:rowOff>104775</xdr:rowOff>
              </to>
            </anchor>
          </objectPr>
        </oleObject>
      </mc:Choice>
      <mc:Fallback>
        <oleObject progId="Word.Picture.8" shapeId="13313" r:id="rId3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8"/>
  <sheetViews>
    <sheetView topLeftCell="A16" zoomScaleNormal="100" workbookViewId="0">
      <selection activeCell="A24" sqref="A24:XFD24"/>
    </sheetView>
  </sheetViews>
  <sheetFormatPr defaultRowHeight="15" x14ac:dyDescent="0.25"/>
  <cols>
    <col min="1" max="1" width="13.42578125" customWidth="1"/>
    <col min="2" max="2" width="11.28515625" customWidth="1"/>
    <col min="3" max="3" width="10.28515625" customWidth="1"/>
    <col min="4" max="4" width="13.85546875" customWidth="1"/>
    <col min="8" max="8" width="54.5703125" customWidth="1"/>
  </cols>
  <sheetData>
    <row r="1" spans="1:8" x14ac:dyDescent="0.25">
      <c r="A1" s="9"/>
      <c r="B1" s="10"/>
      <c r="C1" s="11"/>
      <c r="D1" s="10"/>
      <c r="E1" s="10"/>
      <c r="F1" s="83" t="s">
        <v>0</v>
      </c>
      <c r="G1" s="83"/>
      <c r="H1" s="84"/>
    </row>
    <row r="2" spans="1:8" x14ac:dyDescent="0.25">
      <c r="A2" s="12"/>
      <c r="B2" s="85" t="s">
        <v>1</v>
      </c>
      <c r="C2" s="86"/>
      <c r="D2" s="86"/>
      <c r="E2" s="86"/>
      <c r="F2" s="86"/>
      <c r="G2" s="86"/>
      <c r="H2" s="87"/>
    </row>
    <row r="3" spans="1:8" x14ac:dyDescent="0.25">
      <c r="A3" s="12"/>
      <c r="B3" s="88"/>
      <c r="C3" s="89"/>
      <c r="D3" s="89"/>
      <c r="E3" s="89"/>
      <c r="F3" s="89"/>
      <c r="G3" s="89"/>
      <c r="H3" s="90"/>
    </row>
    <row r="4" spans="1:8" x14ac:dyDescent="0.25">
      <c r="A4" s="12"/>
      <c r="B4" s="4"/>
      <c r="C4" s="6"/>
      <c r="D4" s="4"/>
      <c r="E4" s="4"/>
      <c r="F4" s="4"/>
      <c r="G4" s="4"/>
      <c r="H4" s="13"/>
    </row>
    <row r="5" spans="1:8" ht="18.75" x14ac:dyDescent="0.3">
      <c r="A5" s="12"/>
      <c r="B5" s="4"/>
      <c r="C5" s="91" t="s">
        <v>2</v>
      </c>
      <c r="D5" s="91"/>
      <c r="E5" s="91"/>
      <c r="F5" s="14"/>
      <c r="G5" s="14"/>
      <c r="H5" s="13"/>
    </row>
    <row r="6" spans="1:8" x14ac:dyDescent="0.25">
      <c r="A6" s="12"/>
      <c r="B6" s="4"/>
      <c r="C6" s="6"/>
      <c r="D6" s="4"/>
      <c r="E6" s="4"/>
      <c r="F6" s="4"/>
      <c r="G6" s="4"/>
      <c r="H6" s="13"/>
    </row>
    <row r="7" spans="1:8" x14ac:dyDescent="0.25">
      <c r="A7" s="15" t="s">
        <v>3</v>
      </c>
      <c r="B7" s="37">
        <v>137510</v>
      </c>
      <c r="C7" s="6"/>
      <c r="D7" s="16" t="s">
        <v>4</v>
      </c>
      <c r="E7" s="78" t="s">
        <v>37</v>
      </c>
      <c r="F7" s="81"/>
      <c r="G7" s="81"/>
      <c r="H7" s="82"/>
    </row>
    <row r="8" spans="1:8" x14ac:dyDescent="0.25">
      <c r="A8" s="15" t="s">
        <v>5</v>
      </c>
      <c r="B8" s="37" t="s">
        <v>47</v>
      </c>
      <c r="C8" s="6"/>
      <c r="D8" s="16" t="s">
        <v>6</v>
      </c>
      <c r="E8" s="78" t="s">
        <v>7</v>
      </c>
      <c r="F8" s="79"/>
      <c r="G8" s="4"/>
      <c r="H8" s="13"/>
    </row>
    <row r="9" spans="1:8" x14ac:dyDescent="0.25">
      <c r="A9" s="15" t="s">
        <v>9</v>
      </c>
      <c r="B9" s="37" t="s">
        <v>10</v>
      </c>
      <c r="C9" s="6"/>
      <c r="D9" s="16" t="s">
        <v>8</v>
      </c>
      <c r="E9" s="78" t="s">
        <v>27</v>
      </c>
      <c r="F9" s="81"/>
      <c r="G9" s="81"/>
      <c r="H9" s="82"/>
    </row>
    <row r="10" spans="1:8" x14ac:dyDescent="0.25">
      <c r="A10" s="12"/>
      <c r="B10" s="4"/>
      <c r="C10" s="6"/>
      <c r="D10" s="4"/>
      <c r="E10" s="4"/>
      <c r="F10" s="4"/>
      <c r="G10" s="4"/>
      <c r="H10" s="13"/>
    </row>
    <row r="11" spans="1:8" x14ac:dyDescent="0.25">
      <c r="A11" s="17" t="s">
        <v>11</v>
      </c>
      <c r="B11" s="37">
        <v>473</v>
      </c>
      <c r="C11" s="6"/>
      <c r="D11" s="2" t="s">
        <v>12</v>
      </c>
      <c r="E11" s="78">
        <v>28690</v>
      </c>
      <c r="F11" s="79"/>
      <c r="G11" s="16" t="s">
        <v>13</v>
      </c>
      <c r="H11" s="56">
        <v>12538</v>
      </c>
    </row>
    <row r="12" spans="1:8" x14ac:dyDescent="0.25">
      <c r="A12" s="17" t="s">
        <v>14</v>
      </c>
      <c r="B12" s="37">
        <v>396</v>
      </c>
      <c r="C12" s="6"/>
      <c r="D12" s="2" t="s">
        <v>33</v>
      </c>
      <c r="E12" s="80">
        <v>45383</v>
      </c>
      <c r="F12" s="79"/>
      <c r="G12" s="4"/>
      <c r="H12" s="13"/>
    </row>
    <row r="13" spans="1:8" x14ac:dyDescent="0.25">
      <c r="A13" s="12"/>
      <c r="B13" s="4"/>
      <c r="C13" s="6"/>
      <c r="D13" s="4"/>
      <c r="E13" s="4"/>
      <c r="F13" s="4"/>
      <c r="G13" s="4"/>
      <c r="H13" s="13"/>
    </row>
    <row r="14" spans="1:8" ht="15.75" thickBot="1" x14ac:dyDescent="0.3">
      <c r="A14" s="12"/>
      <c r="B14" s="4"/>
      <c r="C14" s="6"/>
      <c r="D14" s="4"/>
      <c r="E14" s="4"/>
      <c r="F14" s="4"/>
      <c r="G14" s="4"/>
      <c r="H14" s="13"/>
    </row>
    <row r="15" spans="1:8" x14ac:dyDescent="0.25">
      <c r="A15" s="113" t="s">
        <v>19</v>
      </c>
      <c r="B15" s="113" t="s">
        <v>18</v>
      </c>
      <c r="C15" s="123" t="s">
        <v>17</v>
      </c>
      <c r="D15" s="113" t="s">
        <v>16</v>
      </c>
      <c r="E15" s="113" t="s">
        <v>32</v>
      </c>
      <c r="F15" s="115" t="s">
        <v>15</v>
      </c>
      <c r="G15" s="116"/>
      <c r="H15" s="117"/>
    </row>
    <row r="16" spans="1:8" x14ac:dyDescent="0.25">
      <c r="A16" s="114"/>
      <c r="B16" s="114"/>
      <c r="C16" s="124"/>
      <c r="D16" s="114"/>
      <c r="E16" s="114"/>
      <c r="F16" s="118"/>
      <c r="G16" s="119"/>
      <c r="H16" s="120"/>
    </row>
    <row r="17" spans="1:8" ht="30.75" customHeight="1" x14ac:dyDescent="0.25">
      <c r="A17" s="57" t="s">
        <v>58</v>
      </c>
      <c r="B17" s="29">
        <v>0.3125</v>
      </c>
      <c r="C17" s="30">
        <v>0.8125</v>
      </c>
      <c r="D17" s="29">
        <v>0.5</v>
      </c>
      <c r="E17" s="73">
        <v>3.5</v>
      </c>
      <c r="F17" s="77" t="s">
        <v>61</v>
      </c>
      <c r="G17" s="101"/>
      <c r="H17" s="101"/>
    </row>
    <row r="18" spans="1:8" ht="44.25" customHeight="1" x14ac:dyDescent="0.25">
      <c r="A18" s="52" t="s">
        <v>71</v>
      </c>
      <c r="B18" s="29">
        <v>0.35416666666666669</v>
      </c>
      <c r="C18" s="30">
        <v>0.77083333333333337</v>
      </c>
      <c r="D18" s="29">
        <v>0.41666666666666669</v>
      </c>
      <c r="E18" s="73">
        <v>2</v>
      </c>
      <c r="F18" s="77" t="s">
        <v>72</v>
      </c>
      <c r="G18" s="77"/>
      <c r="H18" s="77"/>
    </row>
    <row r="19" spans="1:8" ht="16.5" customHeight="1" x14ac:dyDescent="0.25">
      <c r="A19" s="52" t="s">
        <v>73</v>
      </c>
      <c r="B19" s="29">
        <v>0.35416666666666669</v>
      </c>
      <c r="C19" s="30">
        <v>0.72916666666666663</v>
      </c>
      <c r="D19" s="29">
        <v>0.375</v>
      </c>
      <c r="E19" s="67">
        <v>1</v>
      </c>
      <c r="F19" s="77" t="s">
        <v>74</v>
      </c>
      <c r="G19" s="77"/>
      <c r="H19" s="77"/>
    </row>
    <row r="20" spans="1:8" ht="19.5" customHeight="1" x14ac:dyDescent="0.25">
      <c r="A20" s="52" t="s">
        <v>80</v>
      </c>
      <c r="B20" s="29">
        <v>0.35416666666666669</v>
      </c>
      <c r="C20" s="30">
        <v>0.72916666666666663</v>
      </c>
      <c r="D20" s="29">
        <v>0.375</v>
      </c>
      <c r="E20" s="68">
        <v>1</v>
      </c>
      <c r="F20" s="77" t="s">
        <v>74</v>
      </c>
      <c r="G20" s="77"/>
      <c r="H20" s="77"/>
    </row>
    <row r="21" spans="1:8" ht="18" customHeight="1" x14ac:dyDescent="0.25">
      <c r="A21" s="52" t="s">
        <v>81</v>
      </c>
      <c r="B21" s="29">
        <v>0.35416666666666669</v>
      </c>
      <c r="C21" s="30">
        <v>0.72916666666666663</v>
      </c>
      <c r="D21" s="29">
        <v>0.375</v>
      </c>
      <c r="E21" s="69">
        <v>1</v>
      </c>
      <c r="F21" s="77" t="s">
        <v>74</v>
      </c>
      <c r="G21" s="77"/>
      <c r="H21" s="77"/>
    </row>
    <row r="22" spans="1:8" ht="31.5" customHeight="1" x14ac:dyDescent="0.25">
      <c r="A22" s="57" t="s">
        <v>84</v>
      </c>
      <c r="B22" s="29">
        <v>0.35416666666666669</v>
      </c>
      <c r="C22" s="30">
        <v>0.75</v>
      </c>
      <c r="D22" s="29">
        <v>0.39583333333333331</v>
      </c>
      <c r="E22" s="75">
        <v>1.5</v>
      </c>
      <c r="F22" s="110" t="s">
        <v>85</v>
      </c>
      <c r="G22" s="111"/>
      <c r="H22" s="112"/>
    </row>
    <row r="23" spans="1:8" ht="29.25" customHeight="1" x14ac:dyDescent="0.25">
      <c r="A23" s="57" t="s">
        <v>86</v>
      </c>
      <c r="B23" s="29">
        <v>0.33333333333333331</v>
      </c>
      <c r="C23" s="30">
        <v>0.83333333333333337</v>
      </c>
      <c r="D23" s="29">
        <v>0.5</v>
      </c>
      <c r="E23" s="75">
        <v>3.5</v>
      </c>
      <c r="F23" s="77" t="s">
        <v>88</v>
      </c>
      <c r="G23" s="77"/>
      <c r="H23" s="77"/>
    </row>
    <row r="24" spans="1:8" ht="19.5" customHeight="1" x14ac:dyDescent="0.25">
      <c r="A24" s="57" t="s">
        <v>93</v>
      </c>
      <c r="B24" s="29">
        <v>0.35416666666666669</v>
      </c>
      <c r="C24" s="30">
        <v>0.77083333333333337</v>
      </c>
      <c r="D24" s="29">
        <v>0.41666666666666669</v>
      </c>
      <c r="E24" s="76">
        <v>2</v>
      </c>
      <c r="F24" s="77" t="s">
        <v>94</v>
      </c>
      <c r="G24" s="77"/>
      <c r="H24" s="77"/>
    </row>
    <row r="25" spans="1:8" ht="21" customHeight="1" x14ac:dyDescent="0.25">
      <c r="A25" s="57"/>
      <c r="B25" s="29"/>
      <c r="C25" s="30"/>
      <c r="D25" s="29"/>
      <c r="E25" s="71"/>
      <c r="F25" s="110"/>
      <c r="G25" s="111"/>
      <c r="H25" s="112"/>
    </row>
    <row r="26" spans="1:8" ht="20.25" customHeight="1" x14ac:dyDescent="0.25">
      <c r="A26" s="57"/>
      <c r="B26" s="29"/>
      <c r="C26" s="30"/>
      <c r="D26" s="29"/>
      <c r="E26" s="61"/>
      <c r="F26" s="96"/>
      <c r="G26" s="97"/>
      <c r="H26" s="98"/>
    </row>
    <row r="27" spans="1:8" x14ac:dyDescent="0.25">
      <c r="A27" s="12"/>
      <c r="B27" s="16" t="s">
        <v>16</v>
      </c>
      <c r="C27" s="53">
        <f>SUM(E17:E26)</f>
        <v>15.5</v>
      </c>
      <c r="D27" s="4"/>
      <c r="E27" s="16" t="s">
        <v>20</v>
      </c>
      <c r="F27" s="102">
        <f>B12*C27</f>
        <v>6138</v>
      </c>
      <c r="G27" s="103"/>
      <c r="H27" s="19"/>
    </row>
    <row r="28" spans="1:8" x14ac:dyDescent="0.25">
      <c r="A28" s="12"/>
      <c r="B28" s="4"/>
      <c r="C28" s="6"/>
      <c r="D28" s="4"/>
      <c r="E28" s="4"/>
      <c r="F28" s="4"/>
      <c r="G28" s="4"/>
      <c r="H28" s="13"/>
    </row>
    <row r="29" spans="1:8" x14ac:dyDescent="0.25">
      <c r="A29" s="12"/>
      <c r="B29" s="4"/>
      <c r="C29" s="6"/>
      <c r="D29" s="4"/>
      <c r="E29" s="4"/>
      <c r="F29" s="4"/>
      <c r="G29" s="4"/>
      <c r="H29" s="13"/>
    </row>
    <row r="30" spans="1:8" x14ac:dyDescent="0.25">
      <c r="A30" s="12"/>
      <c r="B30" s="4"/>
      <c r="C30" s="6"/>
      <c r="D30" s="4"/>
      <c r="E30" s="4"/>
      <c r="F30" s="4"/>
      <c r="G30" s="4"/>
      <c r="H30" s="13"/>
    </row>
    <row r="31" spans="1:8" x14ac:dyDescent="0.25">
      <c r="A31" s="20" t="s">
        <v>21</v>
      </c>
      <c r="B31" s="3"/>
      <c r="C31" s="6"/>
      <c r="D31" s="4"/>
      <c r="E31" s="104" t="s">
        <v>23</v>
      </c>
      <c r="F31" s="104"/>
      <c r="G31" s="104"/>
      <c r="H31" s="105"/>
    </row>
    <row r="32" spans="1:8" x14ac:dyDescent="0.25">
      <c r="A32" s="106" t="s">
        <v>49</v>
      </c>
      <c r="B32" s="107"/>
      <c r="C32" s="107"/>
      <c r="D32" s="107"/>
      <c r="E32" s="107"/>
      <c r="F32" s="107"/>
      <c r="G32" s="107"/>
      <c r="H32" s="21"/>
    </row>
    <row r="33" spans="1:8" x14ac:dyDescent="0.25">
      <c r="A33" s="108" t="s">
        <v>24</v>
      </c>
      <c r="B33" s="109"/>
      <c r="C33" s="109"/>
      <c r="D33" s="109"/>
      <c r="E33" s="109"/>
      <c r="F33" s="109"/>
      <c r="G33" s="109"/>
      <c r="H33" s="22"/>
    </row>
    <row r="34" spans="1:8" x14ac:dyDescent="0.25">
      <c r="A34" s="35" t="s">
        <v>25</v>
      </c>
      <c r="B34" s="36"/>
      <c r="C34" s="23"/>
      <c r="D34" s="36"/>
      <c r="E34" s="36"/>
      <c r="F34" s="36"/>
      <c r="G34" s="36"/>
      <c r="H34" s="22"/>
    </row>
    <row r="35" spans="1:8" x14ac:dyDescent="0.25">
      <c r="A35" s="108" t="s">
        <v>26</v>
      </c>
      <c r="B35" s="109"/>
      <c r="C35" s="109"/>
      <c r="D35" s="109"/>
      <c r="E35" s="109"/>
      <c r="F35" s="109"/>
      <c r="G35" s="109"/>
      <c r="H35" s="22"/>
    </row>
    <row r="36" spans="1:8" x14ac:dyDescent="0.25">
      <c r="A36" s="12"/>
      <c r="B36" s="4"/>
      <c r="C36" s="6"/>
      <c r="D36" s="4"/>
      <c r="E36" s="4"/>
      <c r="F36" s="4"/>
      <c r="G36" s="4"/>
      <c r="H36" s="13"/>
    </row>
    <row r="37" spans="1:8" x14ac:dyDescent="0.25">
      <c r="A37" s="12"/>
      <c r="B37" s="4"/>
      <c r="C37" s="6"/>
      <c r="D37" s="4"/>
      <c r="E37" s="4"/>
      <c r="F37" s="4"/>
      <c r="G37" s="4"/>
      <c r="H37" s="13"/>
    </row>
    <row r="38" spans="1:8" ht="15.75" thickBot="1" x14ac:dyDescent="0.3">
      <c r="A38" s="24" t="s">
        <v>21</v>
      </c>
      <c r="B38" s="25"/>
      <c r="C38" s="26"/>
      <c r="D38" s="27"/>
      <c r="E38" s="99" t="s">
        <v>22</v>
      </c>
      <c r="F38" s="99"/>
      <c r="G38" s="99"/>
      <c r="H38" s="100"/>
    </row>
  </sheetData>
  <mergeCells count="30">
    <mergeCell ref="E38:H38"/>
    <mergeCell ref="F27:G27"/>
    <mergeCell ref="E31:H31"/>
    <mergeCell ref="A32:G32"/>
    <mergeCell ref="A33:G33"/>
    <mergeCell ref="F20:H20"/>
    <mergeCell ref="F18:H18"/>
    <mergeCell ref="F17:H17"/>
    <mergeCell ref="A35:G35"/>
    <mergeCell ref="F19:H19"/>
    <mergeCell ref="F21:H21"/>
    <mergeCell ref="F22:H22"/>
    <mergeCell ref="F26:H26"/>
    <mergeCell ref="F23:H23"/>
    <mergeCell ref="F24:H24"/>
    <mergeCell ref="F25:H25"/>
    <mergeCell ref="E11:F11"/>
    <mergeCell ref="E12:F12"/>
    <mergeCell ref="A15:A16"/>
    <mergeCell ref="B15:B16"/>
    <mergeCell ref="C15:C16"/>
    <mergeCell ref="D15:D16"/>
    <mergeCell ref="E15:E16"/>
    <mergeCell ref="F15:H16"/>
    <mergeCell ref="E9:H9"/>
    <mergeCell ref="F1:H1"/>
    <mergeCell ref="B2:H3"/>
    <mergeCell ref="C5:E5"/>
    <mergeCell ref="E7:H7"/>
    <mergeCell ref="E8:F8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Word.Picture.8" shapeId="14337" r:id="rId3">
          <objectPr defaultSize="0" autoPict="0" r:id="rId4">
            <anchor moveWithCells="1" sizeWithCells="1">
              <from>
                <xdr:col>0</xdr:col>
                <xdr:colOff>76200</xdr:colOff>
                <xdr:row>0</xdr:row>
                <xdr:rowOff>133350</xdr:rowOff>
              </from>
              <to>
                <xdr:col>1</xdr:col>
                <xdr:colOff>0</xdr:colOff>
                <xdr:row>4</xdr:row>
                <xdr:rowOff>104775</xdr:rowOff>
              </to>
            </anchor>
          </objectPr>
        </oleObject>
      </mc:Choice>
      <mc:Fallback>
        <oleObject progId="Word.Picture.8" shapeId="14337" r:id="rId3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7"/>
  <sheetViews>
    <sheetView topLeftCell="A9" zoomScaleNormal="100" workbookViewId="0">
      <selection activeCell="A22" sqref="A22:XFD22"/>
    </sheetView>
  </sheetViews>
  <sheetFormatPr defaultRowHeight="15" x14ac:dyDescent="0.25"/>
  <cols>
    <col min="1" max="1" width="13.28515625" customWidth="1"/>
    <col min="2" max="2" width="12.28515625" customWidth="1"/>
    <col min="3" max="3" width="11.5703125" customWidth="1"/>
    <col min="4" max="4" width="14" customWidth="1"/>
    <col min="8" max="8" width="57.42578125" customWidth="1"/>
  </cols>
  <sheetData>
    <row r="1" spans="1:8" x14ac:dyDescent="0.25">
      <c r="A1" s="9"/>
      <c r="B1" s="10"/>
      <c r="C1" s="10"/>
      <c r="D1" s="10"/>
      <c r="E1" s="10"/>
      <c r="F1" s="83" t="s">
        <v>0</v>
      </c>
      <c r="G1" s="83"/>
      <c r="H1" s="84"/>
    </row>
    <row r="2" spans="1:8" x14ac:dyDescent="0.25">
      <c r="A2" s="12"/>
      <c r="B2" s="85" t="s">
        <v>1</v>
      </c>
      <c r="C2" s="86"/>
      <c r="D2" s="86"/>
      <c r="E2" s="86"/>
      <c r="F2" s="86"/>
      <c r="G2" s="86"/>
      <c r="H2" s="87"/>
    </row>
    <row r="3" spans="1:8" x14ac:dyDescent="0.25">
      <c r="A3" s="12"/>
      <c r="B3" s="88"/>
      <c r="C3" s="89"/>
      <c r="D3" s="89"/>
      <c r="E3" s="89"/>
      <c r="F3" s="89"/>
      <c r="G3" s="89"/>
      <c r="H3" s="90"/>
    </row>
    <row r="4" spans="1:8" x14ac:dyDescent="0.25">
      <c r="A4" s="12"/>
      <c r="B4" s="4"/>
      <c r="C4" s="4"/>
      <c r="D4" s="4"/>
      <c r="E4" s="4"/>
      <c r="F4" s="4"/>
      <c r="G4" s="4"/>
      <c r="H4" s="13"/>
    </row>
    <row r="5" spans="1:8" ht="18.75" x14ac:dyDescent="0.3">
      <c r="A5" s="12"/>
      <c r="B5" s="4"/>
      <c r="C5" s="91" t="s">
        <v>2</v>
      </c>
      <c r="D5" s="91"/>
      <c r="E5" s="91"/>
      <c r="F5" s="14"/>
      <c r="G5" s="14"/>
      <c r="H5" s="13"/>
    </row>
    <row r="6" spans="1:8" x14ac:dyDescent="0.25">
      <c r="A6" s="12"/>
      <c r="B6" s="4"/>
      <c r="C6" s="4"/>
      <c r="D6" s="4"/>
      <c r="E6" s="4"/>
      <c r="F6" s="4"/>
      <c r="G6" s="4"/>
      <c r="H6" s="13"/>
    </row>
    <row r="7" spans="1:8" x14ac:dyDescent="0.25">
      <c r="A7" s="15" t="s">
        <v>3</v>
      </c>
      <c r="B7" s="1">
        <v>128734</v>
      </c>
      <c r="C7" s="4"/>
      <c r="D7" s="16" t="s">
        <v>4</v>
      </c>
      <c r="E7" s="78" t="s">
        <v>39</v>
      </c>
      <c r="F7" s="81"/>
      <c r="G7" s="81"/>
      <c r="H7" s="82"/>
    </row>
    <row r="8" spans="1:8" x14ac:dyDescent="0.25">
      <c r="A8" s="15" t="s">
        <v>5</v>
      </c>
      <c r="B8" s="1" t="s">
        <v>40</v>
      </c>
      <c r="C8" s="4"/>
      <c r="D8" s="16" t="s">
        <v>6</v>
      </c>
      <c r="E8" s="78" t="s">
        <v>7</v>
      </c>
      <c r="F8" s="79"/>
      <c r="G8" s="4"/>
      <c r="H8" s="13"/>
    </row>
    <row r="9" spans="1:8" x14ac:dyDescent="0.25">
      <c r="A9" s="15" t="s">
        <v>9</v>
      </c>
      <c r="B9" s="1" t="s">
        <v>10</v>
      </c>
      <c r="C9" s="4"/>
      <c r="D9" s="16" t="s">
        <v>8</v>
      </c>
      <c r="E9" s="78" t="s">
        <v>27</v>
      </c>
      <c r="F9" s="81"/>
      <c r="G9" s="81"/>
      <c r="H9" s="82"/>
    </row>
    <row r="10" spans="1:8" x14ac:dyDescent="0.25">
      <c r="A10" s="12"/>
      <c r="B10" s="4"/>
      <c r="C10" s="4"/>
      <c r="D10" s="4"/>
      <c r="E10" s="4"/>
      <c r="F10" s="4"/>
      <c r="G10" s="4"/>
      <c r="H10" s="13"/>
    </row>
    <row r="11" spans="1:8" x14ac:dyDescent="0.25">
      <c r="A11" s="17" t="s">
        <v>11</v>
      </c>
      <c r="B11" s="1">
        <v>473</v>
      </c>
      <c r="C11" s="4"/>
      <c r="D11" s="2" t="s">
        <v>12</v>
      </c>
      <c r="E11" s="78">
        <v>34980</v>
      </c>
      <c r="F11" s="79"/>
      <c r="G11" s="16" t="s">
        <v>13</v>
      </c>
      <c r="H11" s="33">
        <v>15286</v>
      </c>
    </row>
    <row r="12" spans="1:8" x14ac:dyDescent="0.25">
      <c r="A12" s="17" t="s">
        <v>14</v>
      </c>
      <c r="B12" s="1">
        <v>483</v>
      </c>
      <c r="C12" s="4"/>
      <c r="D12" s="2" t="s">
        <v>33</v>
      </c>
      <c r="E12" s="80">
        <v>45383</v>
      </c>
      <c r="F12" s="79"/>
      <c r="G12" s="4"/>
      <c r="H12" s="13"/>
    </row>
    <row r="13" spans="1:8" x14ac:dyDescent="0.25">
      <c r="A13" s="12"/>
      <c r="B13" s="4"/>
      <c r="C13" s="4"/>
      <c r="D13" s="4"/>
      <c r="E13" s="4"/>
      <c r="F13" s="4"/>
      <c r="G13" s="4"/>
      <c r="H13" s="13"/>
    </row>
    <row r="14" spans="1:8" ht="15.75" thickBot="1" x14ac:dyDescent="0.3">
      <c r="A14" s="12"/>
      <c r="B14" s="4"/>
      <c r="C14" s="4"/>
      <c r="D14" s="4"/>
      <c r="E14" s="4"/>
      <c r="F14" s="4"/>
      <c r="G14" s="4"/>
      <c r="H14" s="13"/>
    </row>
    <row r="15" spans="1:8" x14ac:dyDescent="0.25">
      <c r="A15" s="113" t="s">
        <v>19</v>
      </c>
      <c r="B15" s="113" t="s">
        <v>18</v>
      </c>
      <c r="C15" s="113" t="s">
        <v>17</v>
      </c>
      <c r="D15" s="113" t="s">
        <v>16</v>
      </c>
      <c r="E15" s="113" t="s">
        <v>32</v>
      </c>
      <c r="F15" s="115" t="s">
        <v>15</v>
      </c>
      <c r="G15" s="116"/>
      <c r="H15" s="117"/>
    </row>
    <row r="16" spans="1:8" x14ac:dyDescent="0.25">
      <c r="A16" s="114"/>
      <c r="B16" s="114"/>
      <c r="C16" s="114"/>
      <c r="D16" s="114"/>
      <c r="E16" s="114"/>
      <c r="F16" s="118"/>
      <c r="G16" s="119"/>
      <c r="H16" s="120"/>
    </row>
    <row r="17" spans="1:8" ht="30.75" customHeight="1" x14ac:dyDescent="0.25">
      <c r="A17" s="57" t="s">
        <v>58</v>
      </c>
      <c r="B17" s="29">
        <v>0.3125</v>
      </c>
      <c r="C17" s="30">
        <v>0.8125</v>
      </c>
      <c r="D17" s="29">
        <v>0.5</v>
      </c>
      <c r="E17" s="73">
        <v>3.5</v>
      </c>
      <c r="F17" s="77" t="s">
        <v>61</v>
      </c>
      <c r="G17" s="101"/>
      <c r="H17" s="101"/>
    </row>
    <row r="18" spans="1:8" ht="35.25" customHeight="1" x14ac:dyDescent="0.25">
      <c r="A18" s="52" t="s">
        <v>64</v>
      </c>
      <c r="B18" s="29">
        <v>0.3125</v>
      </c>
      <c r="C18" s="30">
        <v>0.875</v>
      </c>
      <c r="D18" s="29">
        <v>0.5625</v>
      </c>
      <c r="E18" s="73">
        <v>5</v>
      </c>
      <c r="F18" s="77" t="s">
        <v>66</v>
      </c>
      <c r="G18" s="77"/>
      <c r="H18" s="77"/>
    </row>
    <row r="19" spans="1:8" ht="18.75" customHeight="1" x14ac:dyDescent="0.25">
      <c r="A19" s="52" t="s">
        <v>75</v>
      </c>
      <c r="B19" s="29">
        <v>0.35416666666666669</v>
      </c>
      <c r="C19" s="30">
        <v>0.77083333333333337</v>
      </c>
      <c r="D19" s="29">
        <v>0.41666666666666669</v>
      </c>
      <c r="E19" s="74">
        <v>2</v>
      </c>
      <c r="F19" s="77" t="s">
        <v>77</v>
      </c>
      <c r="G19" s="77"/>
      <c r="H19" s="77"/>
    </row>
    <row r="20" spans="1:8" ht="33" customHeight="1" x14ac:dyDescent="0.25">
      <c r="A20" s="57" t="s">
        <v>78</v>
      </c>
      <c r="B20" s="29">
        <v>0.35416666666666669</v>
      </c>
      <c r="C20" s="30">
        <v>0.72916666666666663</v>
      </c>
      <c r="D20" s="29">
        <v>0.39583333333333331</v>
      </c>
      <c r="E20" s="74">
        <v>1</v>
      </c>
      <c r="F20" s="77" t="s">
        <v>79</v>
      </c>
      <c r="G20" s="101"/>
      <c r="H20" s="101"/>
    </row>
    <row r="21" spans="1:8" ht="29.25" customHeight="1" x14ac:dyDescent="0.25">
      <c r="A21" s="57" t="s">
        <v>86</v>
      </c>
      <c r="B21" s="29">
        <v>0.33333333333333331</v>
      </c>
      <c r="C21" s="30">
        <v>0.83333333333333337</v>
      </c>
      <c r="D21" s="29">
        <v>0.5</v>
      </c>
      <c r="E21" s="75">
        <v>3.5</v>
      </c>
      <c r="F21" s="77" t="s">
        <v>88</v>
      </c>
      <c r="G21" s="77"/>
      <c r="H21" s="77"/>
    </row>
    <row r="22" spans="1:8" ht="20.25" customHeight="1" x14ac:dyDescent="0.25">
      <c r="A22" s="57" t="s">
        <v>97</v>
      </c>
      <c r="B22" s="29">
        <v>0.35416666666666669</v>
      </c>
      <c r="C22" s="30">
        <v>1</v>
      </c>
      <c r="D22" s="29">
        <v>0.64583333333333337</v>
      </c>
      <c r="E22" s="76">
        <v>7</v>
      </c>
      <c r="F22" s="77" t="s">
        <v>98</v>
      </c>
      <c r="G22" s="77"/>
      <c r="H22" s="77"/>
    </row>
    <row r="23" spans="1:8" ht="18.75" customHeight="1" x14ac:dyDescent="0.25">
      <c r="A23" s="57"/>
      <c r="B23" s="29"/>
      <c r="C23" s="30"/>
      <c r="D23" s="29"/>
      <c r="E23" s="70"/>
      <c r="F23" s="77"/>
      <c r="G23" s="101"/>
      <c r="H23" s="101"/>
    </row>
    <row r="24" spans="1:8" ht="19.5" customHeight="1" x14ac:dyDescent="0.25">
      <c r="A24" s="52"/>
      <c r="B24" s="29"/>
      <c r="C24" s="30"/>
      <c r="D24" s="29"/>
      <c r="E24" s="71"/>
      <c r="F24" s="77"/>
      <c r="G24" s="77"/>
      <c r="H24" s="77"/>
    </row>
    <row r="25" spans="1:8" ht="22.5" customHeight="1" x14ac:dyDescent="0.25">
      <c r="A25" s="52"/>
      <c r="B25" s="29"/>
      <c r="C25" s="30"/>
      <c r="D25" s="64"/>
      <c r="E25" s="62"/>
      <c r="F25" s="110"/>
      <c r="G25" s="111"/>
      <c r="H25" s="112"/>
    </row>
    <row r="26" spans="1:8" x14ac:dyDescent="0.25">
      <c r="A26" s="12"/>
      <c r="B26" s="16" t="s">
        <v>16</v>
      </c>
      <c r="C26" s="38">
        <f>SUM(E17:E25)</f>
        <v>22</v>
      </c>
      <c r="D26" s="4"/>
      <c r="E26" s="16" t="s">
        <v>20</v>
      </c>
      <c r="F26" s="102">
        <f>B12*C26</f>
        <v>10626</v>
      </c>
      <c r="G26" s="103"/>
      <c r="H26" s="19"/>
    </row>
    <row r="27" spans="1:8" x14ac:dyDescent="0.25">
      <c r="A27" s="12"/>
      <c r="B27" s="4"/>
      <c r="C27" s="4"/>
      <c r="D27" s="4"/>
      <c r="E27" s="4"/>
      <c r="F27" s="4"/>
      <c r="G27" s="4"/>
      <c r="H27" s="13"/>
    </row>
    <row r="28" spans="1:8" x14ac:dyDescent="0.25">
      <c r="A28" s="12"/>
      <c r="B28" s="4"/>
      <c r="C28" s="4"/>
      <c r="D28" s="4"/>
      <c r="E28" s="4"/>
      <c r="F28" s="4"/>
      <c r="G28" s="4"/>
      <c r="H28" s="13"/>
    </row>
    <row r="29" spans="1:8" x14ac:dyDescent="0.25">
      <c r="A29" s="12"/>
      <c r="B29" s="4"/>
      <c r="C29" s="4"/>
      <c r="D29" s="4"/>
      <c r="E29" s="4"/>
      <c r="F29" s="4"/>
      <c r="G29" s="4"/>
      <c r="H29" s="13"/>
    </row>
    <row r="30" spans="1:8" x14ac:dyDescent="0.25">
      <c r="A30" s="20" t="s">
        <v>21</v>
      </c>
      <c r="B30" s="3"/>
      <c r="C30" s="4"/>
      <c r="D30" s="4"/>
      <c r="E30" s="104" t="s">
        <v>23</v>
      </c>
      <c r="F30" s="104"/>
      <c r="G30" s="104"/>
      <c r="H30" s="105"/>
    </row>
    <row r="31" spans="1:8" x14ac:dyDescent="0.25">
      <c r="A31" s="106" t="s">
        <v>49</v>
      </c>
      <c r="B31" s="107"/>
      <c r="C31" s="107"/>
      <c r="D31" s="107"/>
      <c r="E31" s="107"/>
      <c r="F31" s="107"/>
      <c r="G31" s="107"/>
      <c r="H31" s="21"/>
    </row>
    <row r="32" spans="1:8" x14ac:dyDescent="0.25">
      <c r="A32" s="108" t="s">
        <v>24</v>
      </c>
      <c r="B32" s="109"/>
      <c r="C32" s="109"/>
      <c r="D32" s="109"/>
      <c r="E32" s="109"/>
      <c r="F32" s="109"/>
      <c r="G32" s="109"/>
      <c r="H32" s="22"/>
    </row>
    <row r="33" spans="1:8" x14ac:dyDescent="0.25">
      <c r="A33" s="35" t="s">
        <v>25</v>
      </c>
      <c r="B33" s="36"/>
      <c r="C33" s="36"/>
      <c r="D33" s="36"/>
      <c r="E33" s="36"/>
      <c r="F33" s="36"/>
      <c r="G33" s="36"/>
      <c r="H33" s="22"/>
    </row>
    <row r="34" spans="1:8" x14ac:dyDescent="0.25">
      <c r="A34" s="108" t="s">
        <v>26</v>
      </c>
      <c r="B34" s="109"/>
      <c r="C34" s="109"/>
      <c r="D34" s="109"/>
      <c r="E34" s="109"/>
      <c r="F34" s="109"/>
      <c r="G34" s="109"/>
      <c r="H34" s="22"/>
    </row>
    <row r="35" spans="1:8" x14ac:dyDescent="0.25">
      <c r="A35" s="12"/>
      <c r="B35" s="4"/>
      <c r="C35" s="4"/>
      <c r="D35" s="4"/>
      <c r="E35" s="4"/>
      <c r="F35" s="4"/>
      <c r="G35" s="4"/>
      <c r="H35" s="13"/>
    </row>
    <row r="36" spans="1:8" x14ac:dyDescent="0.25">
      <c r="A36" s="12"/>
      <c r="B36" s="4"/>
      <c r="C36" s="4"/>
      <c r="D36" s="4"/>
      <c r="E36" s="4"/>
      <c r="F36" s="4"/>
      <c r="G36" s="4"/>
      <c r="H36" s="13"/>
    </row>
    <row r="37" spans="1:8" ht="15.75" thickBot="1" x14ac:dyDescent="0.3">
      <c r="A37" s="24" t="s">
        <v>21</v>
      </c>
      <c r="B37" s="25"/>
      <c r="C37" s="27"/>
      <c r="D37" s="27"/>
      <c r="E37" s="99" t="s">
        <v>22</v>
      </c>
      <c r="F37" s="99"/>
      <c r="G37" s="99"/>
      <c r="H37" s="100"/>
    </row>
  </sheetData>
  <mergeCells count="29">
    <mergeCell ref="F20:H20"/>
    <mergeCell ref="F1:H1"/>
    <mergeCell ref="B2:H3"/>
    <mergeCell ref="C5:E5"/>
    <mergeCell ref="E7:H7"/>
    <mergeCell ref="E8:F8"/>
    <mergeCell ref="E9:H9"/>
    <mergeCell ref="F17:H17"/>
    <mergeCell ref="F19:H19"/>
    <mergeCell ref="E11:F11"/>
    <mergeCell ref="E12:F12"/>
    <mergeCell ref="F15:H16"/>
    <mergeCell ref="F18:H18"/>
    <mergeCell ref="A15:A16"/>
    <mergeCell ref="B15:B16"/>
    <mergeCell ref="C15:C16"/>
    <mergeCell ref="D15:D16"/>
    <mergeCell ref="E15:E16"/>
    <mergeCell ref="E37:H37"/>
    <mergeCell ref="F21:H21"/>
    <mergeCell ref="F22:H22"/>
    <mergeCell ref="F26:G26"/>
    <mergeCell ref="E30:H30"/>
    <mergeCell ref="A31:G31"/>
    <mergeCell ref="A32:G32"/>
    <mergeCell ref="A34:G34"/>
    <mergeCell ref="F23:H23"/>
    <mergeCell ref="F24:H24"/>
    <mergeCell ref="F25:H25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Word.Picture.8" shapeId="15361" r:id="rId3">
          <objectPr defaultSize="0" autoPict="0" r:id="rId4">
            <anchor moveWithCells="1" sizeWithCells="1">
              <from>
                <xdr:col>0</xdr:col>
                <xdr:colOff>76200</xdr:colOff>
                <xdr:row>0</xdr:row>
                <xdr:rowOff>133350</xdr:rowOff>
              </from>
              <to>
                <xdr:col>1</xdr:col>
                <xdr:colOff>0</xdr:colOff>
                <xdr:row>4</xdr:row>
                <xdr:rowOff>209550</xdr:rowOff>
              </to>
            </anchor>
          </objectPr>
        </oleObject>
      </mc:Choice>
      <mc:Fallback>
        <oleObject progId="Word.Picture.8" shapeId="15361" r:id="rId3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7"/>
  <sheetViews>
    <sheetView topLeftCell="A12" workbookViewId="0">
      <selection activeCell="A24" sqref="A24:XFD24"/>
    </sheetView>
  </sheetViews>
  <sheetFormatPr defaultRowHeight="15" x14ac:dyDescent="0.25"/>
  <cols>
    <col min="1" max="1" width="13.5703125" customWidth="1"/>
    <col min="2" max="2" width="9.5703125" customWidth="1"/>
    <col min="8" max="8" width="50.85546875" customWidth="1"/>
  </cols>
  <sheetData>
    <row r="1" spans="1:8" x14ac:dyDescent="0.25">
      <c r="A1" s="9"/>
      <c r="B1" s="10"/>
      <c r="C1" s="10"/>
      <c r="D1" s="10"/>
      <c r="E1" s="10"/>
      <c r="F1" s="83" t="s">
        <v>0</v>
      </c>
      <c r="G1" s="83"/>
      <c r="H1" s="84"/>
    </row>
    <row r="2" spans="1:8" x14ac:dyDescent="0.25">
      <c r="A2" s="12"/>
      <c r="B2" s="85" t="s">
        <v>1</v>
      </c>
      <c r="C2" s="86"/>
      <c r="D2" s="86"/>
      <c r="E2" s="86"/>
      <c r="F2" s="86"/>
      <c r="G2" s="86"/>
      <c r="H2" s="87"/>
    </row>
    <row r="3" spans="1:8" x14ac:dyDescent="0.25">
      <c r="A3" s="12"/>
      <c r="B3" s="88"/>
      <c r="C3" s="89"/>
      <c r="D3" s="89"/>
      <c r="E3" s="89"/>
      <c r="F3" s="89"/>
      <c r="G3" s="89"/>
      <c r="H3" s="90"/>
    </row>
    <row r="4" spans="1:8" x14ac:dyDescent="0.25">
      <c r="A4" s="12"/>
      <c r="B4" s="4"/>
      <c r="C4" s="4"/>
      <c r="D4" s="4"/>
      <c r="E4" s="4"/>
      <c r="F4" s="4"/>
      <c r="G4" s="4"/>
      <c r="H4" s="13"/>
    </row>
    <row r="5" spans="1:8" ht="18.75" x14ac:dyDescent="0.3">
      <c r="A5" s="12"/>
      <c r="B5" s="4"/>
      <c r="C5" s="91" t="s">
        <v>2</v>
      </c>
      <c r="D5" s="91"/>
      <c r="E5" s="91"/>
      <c r="F5" s="14"/>
      <c r="G5" s="14"/>
      <c r="H5" s="13"/>
    </row>
    <row r="6" spans="1:8" x14ac:dyDescent="0.25">
      <c r="A6" s="12"/>
      <c r="B6" s="4"/>
      <c r="C6" s="4"/>
      <c r="D6" s="4"/>
      <c r="E6" s="4"/>
      <c r="F6" s="4"/>
      <c r="G6" s="4"/>
      <c r="H6" s="13"/>
    </row>
    <row r="7" spans="1:8" x14ac:dyDescent="0.25">
      <c r="A7" s="15" t="s">
        <v>3</v>
      </c>
      <c r="B7" s="1">
        <v>129190</v>
      </c>
      <c r="C7" s="4"/>
      <c r="D7" s="16" t="s">
        <v>4</v>
      </c>
      <c r="E7" s="78" t="s">
        <v>46</v>
      </c>
      <c r="F7" s="81"/>
      <c r="G7" s="81"/>
      <c r="H7" s="82"/>
    </row>
    <row r="8" spans="1:8" x14ac:dyDescent="0.25">
      <c r="A8" s="15" t="s">
        <v>5</v>
      </c>
      <c r="B8" s="1" t="s">
        <v>54</v>
      </c>
      <c r="C8" s="4"/>
      <c r="D8" s="16" t="s">
        <v>6</v>
      </c>
      <c r="E8" s="78" t="s">
        <v>7</v>
      </c>
      <c r="F8" s="79"/>
      <c r="G8" s="4"/>
      <c r="H8" s="13"/>
    </row>
    <row r="9" spans="1:8" x14ac:dyDescent="0.25">
      <c r="A9" s="15" t="s">
        <v>9</v>
      </c>
      <c r="B9" s="1" t="s">
        <v>10</v>
      </c>
      <c r="C9" s="4"/>
      <c r="D9" s="16" t="s">
        <v>8</v>
      </c>
      <c r="E9" s="78" t="s">
        <v>27</v>
      </c>
      <c r="F9" s="81"/>
      <c r="G9" s="81"/>
      <c r="H9" s="82"/>
    </row>
    <row r="10" spans="1:8" x14ac:dyDescent="0.25">
      <c r="A10" s="12"/>
      <c r="B10" s="4"/>
      <c r="C10" s="4"/>
      <c r="D10" s="4"/>
      <c r="E10" s="4"/>
      <c r="F10" s="4"/>
      <c r="G10" s="4"/>
      <c r="H10" s="13"/>
    </row>
    <row r="11" spans="1:8" x14ac:dyDescent="0.25">
      <c r="A11" s="17" t="s">
        <v>11</v>
      </c>
      <c r="B11" s="1">
        <v>477</v>
      </c>
      <c r="C11" s="4"/>
      <c r="D11" s="2" t="s">
        <v>12</v>
      </c>
      <c r="E11" s="78">
        <v>40760</v>
      </c>
      <c r="F11" s="79"/>
      <c r="G11" s="16" t="s">
        <v>13</v>
      </c>
      <c r="H11" s="33">
        <v>17812</v>
      </c>
    </row>
    <row r="12" spans="1:8" x14ac:dyDescent="0.25">
      <c r="A12" s="17" t="s">
        <v>14</v>
      </c>
      <c r="B12" s="1">
        <v>563</v>
      </c>
      <c r="C12" s="4"/>
      <c r="D12" s="2" t="s">
        <v>33</v>
      </c>
      <c r="E12" s="80">
        <v>45383</v>
      </c>
      <c r="F12" s="79"/>
      <c r="G12" s="4"/>
      <c r="H12" s="13"/>
    </row>
    <row r="13" spans="1:8" x14ac:dyDescent="0.25">
      <c r="A13" s="12"/>
      <c r="B13" s="4"/>
      <c r="C13" s="4"/>
      <c r="D13" s="4"/>
      <c r="E13" s="4"/>
      <c r="F13" s="4"/>
      <c r="G13" s="4"/>
      <c r="H13" s="13"/>
    </row>
    <row r="14" spans="1:8" ht="15.75" thickBot="1" x14ac:dyDescent="0.3">
      <c r="A14" s="12"/>
      <c r="B14" s="4"/>
      <c r="C14" s="4"/>
      <c r="D14" s="4"/>
      <c r="E14" s="4"/>
      <c r="F14" s="4"/>
      <c r="G14" s="4"/>
      <c r="H14" s="13"/>
    </row>
    <row r="15" spans="1:8" x14ac:dyDescent="0.25">
      <c r="A15" s="113" t="s">
        <v>19</v>
      </c>
      <c r="B15" s="113" t="s">
        <v>18</v>
      </c>
      <c r="C15" s="113" t="s">
        <v>17</v>
      </c>
      <c r="D15" s="113" t="s">
        <v>16</v>
      </c>
      <c r="E15" s="113" t="s">
        <v>32</v>
      </c>
      <c r="F15" s="115" t="s">
        <v>15</v>
      </c>
      <c r="G15" s="116"/>
      <c r="H15" s="117"/>
    </row>
    <row r="16" spans="1:8" x14ac:dyDescent="0.25">
      <c r="A16" s="114"/>
      <c r="B16" s="114"/>
      <c r="C16" s="114"/>
      <c r="D16" s="114"/>
      <c r="E16" s="114"/>
      <c r="F16" s="118"/>
      <c r="G16" s="119"/>
      <c r="H16" s="120"/>
    </row>
    <row r="17" spans="1:8" ht="21" customHeight="1" x14ac:dyDescent="0.25">
      <c r="A17" s="52" t="s">
        <v>64</v>
      </c>
      <c r="B17" s="29">
        <v>0.35416666666666669</v>
      </c>
      <c r="C17" s="30">
        <v>0.75</v>
      </c>
      <c r="D17" s="29">
        <v>0.39583333333333331</v>
      </c>
      <c r="E17" s="66">
        <v>1.5</v>
      </c>
      <c r="F17" s="77" t="s">
        <v>65</v>
      </c>
      <c r="G17" s="77"/>
      <c r="H17" s="77"/>
    </row>
    <row r="18" spans="1:8" ht="35.25" customHeight="1" x14ac:dyDescent="0.25">
      <c r="A18" s="57" t="s">
        <v>69</v>
      </c>
      <c r="B18" s="29">
        <v>0.5</v>
      </c>
      <c r="C18" s="30">
        <v>0.875</v>
      </c>
      <c r="D18" s="29">
        <v>0.375</v>
      </c>
      <c r="E18" s="73">
        <v>8</v>
      </c>
      <c r="F18" s="77" t="s">
        <v>70</v>
      </c>
      <c r="G18" s="101"/>
      <c r="H18" s="101"/>
    </row>
    <row r="19" spans="1:8" ht="44.25" customHeight="1" x14ac:dyDescent="0.25">
      <c r="A19" s="52" t="s">
        <v>71</v>
      </c>
      <c r="B19" s="29">
        <v>0.35416666666666669</v>
      </c>
      <c r="C19" s="30">
        <v>0.77083333333333337</v>
      </c>
      <c r="D19" s="29">
        <v>0.41666666666666669</v>
      </c>
      <c r="E19" s="67">
        <v>2</v>
      </c>
      <c r="F19" s="77" t="s">
        <v>72</v>
      </c>
      <c r="G19" s="77"/>
      <c r="H19" s="77"/>
    </row>
    <row r="20" spans="1:8" ht="33" customHeight="1" x14ac:dyDescent="0.25">
      <c r="A20" s="52" t="s">
        <v>75</v>
      </c>
      <c r="B20" s="29">
        <v>0.35416666666666669</v>
      </c>
      <c r="C20" s="30">
        <v>0.75</v>
      </c>
      <c r="D20" s="29">
        <v>0.39583333333333331</v>
      </c>
      <c r="E20" s="74">
        <v>1.5</v>
      </c>
      <c r="F20" s="77" t="s">
        <v>76</v>
      </c>
      <c r="G20" s="77"/>
      <c r="H20" s="77"/>
    </row>
    <row r="21" spans="1:8" ht="33" customHeight="1" x14ac:dyDescent="0.25">
      <c r="A21" s="57" t="s">
        <v>78</v>
      </c>
      <c r="B21" s="29">
        <v>0.35416666666666669</v>
      </c>
      <c r="C21" s="30">
        <v>0.72916666666666663</v>
      </c>
      <c r="D21" s="29">
        <v>0.375</v>
      </c>
      <c r="E21" s="74">
        <v>1</v>
      </c>
      <c r="F21" s="77" t="s">
        <v>79</v>
      </c>
      <c r="G21" s="101"/>
      <c r="H21" s="101"/>
    </row>
    <row r="22" spans="1:8" ht="31.5" customHeight="1" x14ac:dyDescent="0.25">
      <c r="A22" s="57" t="s">
        <v>84</v>
      </c>
      <c r="B22" s="29">
        <v>0.35416666666666669</v>
      </c>
      <c r="C22" s="30">
        <v>0.75</v>
      </c>
      <c r="D22" s="29">
        <v>0.39583333333333331</v>
      </c>
      <c r="E22" s="75">
        <v>1.5</v>
      </c>
      <c r="F22" s="110" t="s">
        <v>85</v>
      </c>
      <c r="G22" s="111"/>
      <c r="H22" s="112"/>
    </row>
    <row r="23" spans="1:8" ht="17.25" customHeight="1" x14ac:dyDescent="0.25">
      <c r="A23" s="57" t="s">
        <v>91</v>
      </c>
      <c r="B23" s="29">
        <v>0.3125</v>
      </c>
      <c r="C23" s="30">
        <v>0.83333333333333337</v>
      </c>
      <c r="D23" s="29">
        <v>0.52083333333333337</v>
      </c>
      <c r="E23" s="75">
        <v>4</v>
      </c>
      <c r="F23" s="77" t="s">
        <v>92</v>
      </c>
      <c r="G23" s="77"/>
      <c r="H23" s="77"/>
    </row>
    <row r="24" spans="1:8" ht="20.25" customHeight="1" x14ac:dyDescent="0.25">
      <c r="A24" s="57" t="s">
        <v>97</v>
      </c>
      <c r="B24" s="29">
        <v>0.35416666666666669</v>
      </c>
      <c r="C24" s="30">
        <v>1</v>
      </c>
      <c r="D24" s="29">
        <v>0.64583333333333337</v>
      </c>
      <c r="E24" s="76">
        <v>7</v>
      </c>
      <c r="F24" s="77" t="s">
        <v>98</v>
      </c>
      <c r="G24" s="77"/>
      <c r="H24" s="77"/>
    </row>
    <row r="25" spans="1:8" ht="18.75" customHeight="1" x14ac:dyDescent="0.25">
      <c r="A25" s="65"/>
      <c r="B25" s="29"/>
      <c r="C25" s="30"/>
      <c r="D25" s="29"/>
      <c r="E25" s="63"/>
      <c r="F25" s="96"/>
      <c r="G25" s="97"/>
      <c r="H25" s="97"/>
    </row>
    <row r="26" spans="1:8" x14ac:dyDescent="0.25">
      <c r="A26" s="39"/>
      <c r="B26" s="28" t="s">
        <v>16</v>
      </c>
      <c r="C26" s="1">
        <f>SUM(E17:E25)</f>
        <v>26.5</v>
      </c>
      <c r="D26" s="1"/>
      <c r="E26" s="28" t="s">
        <v>20</v>
      </c>
      <c r="F26" s="125">
        <f>B12*C26</f>
        <v>14919.5</v>
      </c>
      <c r="G26" s="125"/>
      <c r="H26" s="40"/>
    </row>
    <row r="27" spans="1:8" x14ac:dyDescent="0.25">
      <c r="A27" s="12"/>
      <c r="B27" s="4"/>
      <c r="C27" s="4"/>
      <c r="D27" s="4"/>
      <c r="E27" s="4"/>
      <c r="F27" s="4"/>
      <c r="G27" s="4"/>
      <c r="H27" s="13"/>
    </row>
    <row r="28" spans="1:8" x14ac:dyDescent="0.25">
      <c r="A28" s="12"/>
      <c r="B28" s="4"/>
      <c r="C28" s="4"/>
      <c r="D28" s="4"/>
      <c r="E28" s="4"/>
      <c r="F28" s="4"/>
      <c r="G28" s="4"/>
      <c r="H28" s="13"/>
    </row>
    <row r="29" spans="1:8" x14ac:dyDescent="0.25">
      <c r="A29" s="12"/>
      <c r="B29" s="4"/>
      <c r="C29" s="4"/>
      <c r="D29" s="4"/>
      <c r="E29" s="4"/>
      <c r="F29" s="4"/>
      <c r="G29" s="4"/>
      <c r="H29" s="13"/>
    </row>
    <row r="30" spans="1:8" x14ac:dyDescent="0.25">
      <c r="A30" s="20" t="s">
        <v>21</v>
      </c>
      <c r="B30" s="3"/>
      <c r="C30" s="4"/>
      <c r="D30" s="4"/>
      <c r="E30" s="104" t="s">
        <v>23</v>
      </c>
      <c r="F30" s="104"/>
      <c r="G30" s="104"/>
      <c r="H30" s="105"/>
    </row>
    <row r="31" spans="1:8" x14ac:dyDescent="0.25">
      <c r="A31" s="106" t="s">
        <v>49</v>
      </c>
      <c r="B31" s="107"/>
      <c r="C31" s="107"/>
      <c r="D31" s="107"/>
      <c r="E31" s="107"/>
      <c r="F31" s="107"/>
      <c r="G31" s="107"/>
      <c r="H31" s="21"/>
    </row>
    <row r="32" spans="1:8" x14ac:dyDescent="0.25">
      <c r="A32" s="108" t="s">
        <v>24</v>
      </c>
      <c r="B32" s="109"/>
      <c r="C32" s="109"/>
      <c r="D32" s="109"/>
      <c r="E32" s="109"/>
      <c r="F32" s="109"/>
      <c r="G32" s="109"/>
      <c r="H32" s="22"/>
    </row>
    <row r="33" spans="1:8" x14ac:dyDescent="0.25">
      <c r="A33" s="35" t="s">
        <v>25</v>
      </c>
      <c r="B33" s="36"/>
      <c r="C33" s="36"/>
      <c r="D33" s="36"/>
      <c r="E33" s="36"/>
      <c r="F33" s="36"/>
      <c r="G33" s="36"/>
      <c r="H33" s="22"/>
    </row>
    <row r="34" spans="1:8" x14ac:dyDescent="0.25">
      <c r="A34" s="108" t="s">
        <v>26</v>
      </c>
      <c r="B34" s="109"/>
      <c r="C34" s="109"/>
      <c r="D34" s="109"/>
      <c r="E34" s="109"/>
      <c r="F34" s="109"/>
      <c r="G34" s="109"/>
      <c r="H34" s="22"/>
    </row>
    <row r="35" spans="1:8" x14ac:dyDescent="0.25">
      <c r="A35" s="12"/>
      <c r="B35" s="4"/>
      <c r="C35" s="4"/>
      <c r="D35" s="4"/>
      <c r="E35" s="4"/>
      <c r="F35" s="4"/>
      <c r="G35" s="4"/>
      <c r="H35" s="13"/>
    </row>
    <row r="36" spans="1:8" x14ac:dyDescent="0.25">
      <c r="A36" s="12"/>
      <c r="B36" s="4"/>
      <c r="C36" s="4"/>
      <c r="D36" s="4"/>
      <c r="E36" s="4"/>
      <c r="F36" s="4"/>
      <c r="G36" s="4"/>
      <c r="H36" s="13"/>
    </row>
    <row r="37" spans="1:8" ht="15.75" thickBot="1" x14ac:dyDescent="0.3">
      <c r="A37" s="24" t="s">
        <v>21</v>
      </c>
      <c r="B37" s="25"/>
      <c r="C37" s="27"/>
      <c r="D37" s="27"/>
      <c r="E37" s="99" t="s">
        <v>22</v>
      </c>
      <c r="F37" s="99"/>
      <c r="G37" s="99"/>
      <c r="H37" s="100"/>
    </row>
  </sheetData>
  <mergeCells count="29">
    <mergeCell ref="E11:F11"/>
    <mergeCell ref="E12:F12"/>
    <mergeCell ref="F15:H16"/>
    <mergeCell ref="F17:H17"/>
    <mergeCell ref="F18:H18"/>
    <mergeCell ref="E9:H9"/>
    <mergeCell ref="F1:H1"/>
    <mergeCell ref="B2:H3"/>
    <mergeCell ref="C5:E5"/>
    <mergeCell ref="E7:H7"/>
    <mergeCell ref="E8:F8"/>
    <mergeCell ref="A15:A16"/>
    <mergeCell ref="B15:B16"/>
    <mergeCell ref="C15:C16"/>
    <mergeCell ref="D15:D16"/>
    <mergeCell ref="E15:E16"/>
    <mergeCell ref="E37:H37"/>
    <mergeCell ref="F19:H19"/>
    <mergeCell ref="F26:G26"/>
    <mergeCell ref="E30:H30"/>
    <mergeCell ref="A31:G31"/>
    <mergeCell ref="A32:G32"/>
    <mergeCell ref="A34:G34"/>
    <mergeCell ref="F20:H20"/>
    <mergeCell ref="F21:H21"/>
    <mergeCell ref="F25:H25"/>
    <mergeCell ref="F22:H22"/>
    <mergeCell ref="F23:H23"/>
    <mergeCell ref="F24:H24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Word.Picture.8" shapeId="16385" r:id="rId3">
          <objectPr defaultSize="0" autoPict="0" r:id="rId4">
            <anchor moveWithCells="1" sizeWithCells="1">
              <from>
                <xdr:col>0</xdr:col>
                <xdr:colOff>76200</xdr:colOff>
                <xdr:row>0</xdr:row>
                <xdr:rowOff>133350</xdr:rowOff>
              </from>
              <to>
                <xdr:col>1</xdr:col>
                <xdr:colOff>0</xdr:colOff>
                <xdr:row>4</xdr:row>
                <xdr:rowOff>209550</xdr:rowOff>
              </to>
            </anchor>
          </objectPr>
        </oleObject>
      </mc:Choice>
      <mc:Fallback>
        <oleObject progId="Word.Picture.8" shapeId="16385" r:id="rId3"/>
      </mc:Fallback>
    </mc:AlternateContent>
  </oleObjec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37"/>
  <sheetViews>
    <sheetView topLeftCell="A13" zoomScaleNormal="100" workbookViewId="0">
      <selection activeCell="A24" sqref="A24:XFD24"/>
    </sheetView>
  </sheetViews>
  <sheetFormatPr defaultRowHeight="15" x14ac:dyDescent="0.25"/>
  <cols>
    <col min="1" max="1" width="14.28515625" style="51" customWidth="1"/>
    <col min="2" max="2" width="13.42578125" customWidth="1"/>
    <col min="3" max="3" width="10.7109375" customWidth="1"/>
    <col min="8" max="8" width="63.28515625" customWidth="1"/>
  </cols>
  <sheetData>
    <row r="1" spans="1:8" x14ac:dyDescent="0.25">
      <c r="A1" s="45"/>
      <c r="B1" s="10"/>
      <c r="C1" s="10"/>
      <c r="D1" s="10"/>
      <c r="E1" s="10"/>
      <c r="F1" s="83" t="s">
        <v>0</v>
      </c>
      <c r="G1" s="83"/>
      <c r="H1" s="84"/>
    </row>
    <row r="2" spans="1:8" x14ac:dyDescent="0.25">
      <c r="A2" s="46"/>
      <c r="B2" s="85" t="s">
        <v>1</v>
      </c>
      <c r="C2" s="86"/>
      <c r="D2" s="86"/>
      <c r="E2" s="86"/>
      <c r="F2" s="86"/>
      <c r="G2" s="86"/>
      <c r="H2" s="87"/>
    </row>
    <row r="3" spans="1:8" x14ac:dyDescent="0.25">
      <c r="A3" s="46"/>
      <c r="B3" s="88"/>
      <c r="C3" s="89"/>
      <c r="D3" s="89"/>
      <c r="E3" s="89"/>
      <c r="F3" s="89"/>
      <c r="G3" s="89"/>
      <c r="H3" s="90"/>
    </row>
    <row r="4" spans="1:8" x14ac:dyDescent="0.25">
      <c r="A4" s="46"/>
      <c r="B4" s="4"/>
      <c r="C4" s="4"/>
      <c r="D4" s="4"/>
      <c r="E4" s="4"/>
      <c r="F4" s="4"/>
      <c r="G4" s="4"/>
      <c r="H4" s="13"/>
    </row>
    <row r="5" spans="1:8" ht="18.75" x14ac:dyDescent="0.3">
      <c r="A5" s="46"/>
      <c r="B5" s="4"/>
      <c r="C5" s="91" t="s">
        <v>2</v>
      </c>
      <c r="D5" s="91"/>
      <c r="E5" s="91"/>
      <c r="F5" s="14"/>
      <c r="G5" s="14"/>
      <c r="H5" s="13"/>
    </row>
    <row r="6" spans="1:8" x14ac:dyDescent="0.25">
      <c r="A6" s="46"/>
      <c r="B6" s="4"/>
      <c r="C6" s="4"/>
      <c r="D6" s="4"/>
      <c r="E6" s="4"/>
      <c r="F6" s="4"/>
      <c r="G6" s="4"/>
      <c r="H6" s="13"/>
    </row>
    <row r="7" spans="1:8" x14ac:dyDescent="0.25">
      <c r="A7" s="47" t="s">
        <v>3</v>
      </c>
      <c r="B7" s="1">
        <v>138139</v>
      </c>
      <c r="C7" s="4"/>
      <c r="D7" s="16" t="s">
        <v>4</v>
      </c>
      <c r="E7" s="78" t="s">
        <v>38</v>
      </c>
      <c r="F7" s="81"/>
      <c r="G7" s="81"/>
      <c r="H7" s="82"/>
    </row>
    <row r="8" spans="1:8" x14ac:dyDescent="0.25">
      <c r="A8" s="47" t="s">
        <v>5</v>
      </c>
      <c r="B8" s="1" t="s">
        <v>41</v>
      </c>
      <c r="C8" s="4"/>
      <c r="D8" s="16" t="s">
        <v>6</v>
      </c>
      <c r="E8" s="78" t="s">
        <v>7</v>
      </c>
      <c r="F8" s="79"/>
      <c r="G8" s="4"/>
      <c r="H8" s="13"/>
    </row>
    <row r="9" spans="1:8" x14ac:dyDescent="0.25">
      <c r="A9" s="47" t="s">
        <v>9</v>
      </c>
      <c r="B9" s="1" t="s">
        <v>10</v>
      </c>
      <c r="C9" s="4"/>
      <c r="D9" s="16" t="s">
        <v>8</v>
      </c>
      <c r="E9" s="78" t="s">
        <v>27</v>
      </c>
      <c r="F9" s="81"/>
      <c r="G9" s="81"/>
      <c r="H9" s="82"/>
    </row>
    <row r="10" spans="1:8" x14ac:dyDescent="0.25">
      <c r="A10" s="46"/>
      <c r="B10" s="4"/>
      <c r="C10" s="4"/>
      <c r="D10" s="4"/>
      <c r="E10" s="4"/>
      <c r="F10" s="4"/>
      <c r="G10" s="4"/>
      <c r="H10" s="13"/>
    </row>
    <row r="11" spans="1:8" x14ac:dyDescent="0.25">
      <c r="A11" s="48" t="s">
        <v>11</v>
      </c>
      <c r="B11" s="1">
        <v>473</v>
      </c>
      <c r="C11" s="4"/>
      <c r="D11" s="2" t="s">
        <v>12</v>
      </c>
      <c r="E11" s="78">
        <v>29960</v>
      </c>
      <c r="F11" s="79"/>
      <c r="G11" s="16" t="s">
        <v>13</v>
      </c>
      <c r="H11" s="33">
        <v>13093</v>
      </c>
    </row>
    <row r="12" spans="1:8" x14ac:dyDescent="0.25">
      <c r="A12" s="48" t="s">
        <v>14</v>
      </c>
      <c r="B12" s="1">
        <v>413</v>
      </c>
      <c r="C12" s="4"/>
      <c r="D12" s="2" t="s">
        <v>33</v>
      </c>
      <c r="E12" s="80">
        <v>45383</v>
      </c>
      <c r="F12" s="79"/>
      <c r="G12" s="4"/>
      <c r="H12" s="13"/>
    </row>
    <row r="13" spans="1:8" x14ac:dyDescent="0.25">
      <c r="A13" s="46"/>
      <c r="B13" s="4"/>
      <c r="C13" s="4"/>
      <c r="D13" s="4"/>
      <c r="E13" s="4"/>
      <c r="F13" s="4"/>
      <c r="G13" s="4"/>
      <c r="H13" s="13"/>
    </row>
    <row r="14" spans="1:8" ht="15.75" thickBot="1" x14ac:dyDescent="0.3">
      <c r="A14" s="46"/>
      <c r="B14" s="4"/>
      <c r="C14" s="4"/>
      <c r="D14" s="4"/>
      <c r="E14" s="4"/>
      <c r="F14" s="4"/>
      <c r="G14" s="4"/>
      <c r="H14" s="13"/>
    </row>
    <row r="15" spans="1:8" x14ac:dyDescent="0.25">
      <c r="A15" s="126" t="s">
        <v>19</v>
      </c>
      <c r="B15" s="113" t="s">
        <v>18</v>
      </c>
      <c r="C15" s="113" t="s">
        <v>17</v>
      </c>
      <c r="D15" s="113" t="s">
        <v>16</v>
      </c>
      <c r="E15" s="113" t="s">
        <v>32</v>
      </c>
      <c r="F15" s="115" t="s">
        <v>15</v>
      </c>
      <c r="G15" s="116"/>
      <c r="H15" s="117"/>
    </row>
    <row r="16" spans="1:8" x14ac:dyDescent="0.25">
      <c r="A16" s="127"/>
      <c r="B16" s="114"/>
      <c r="C16" s="114"/>
      <c r="D16" s="114"/>
      <c r="E16" s="114"/>
      <c r="F16" s="118"/>
      <c r="G16" s="119"/>
      <c r="H16" s="120"/>
    </row>
    <row r="17" spans="1:8" ht="37.5" customHeight="1" x14ac:dyDescent="0.25">
      <c r="A17" s="52" t="s">
        <v>55</v>
      </c>
      <c r="B17" s="29">
        <v>0.35416666666666669</v>
      </c>
      <c r="C17" s="30">
        <v>0.79166666666666663</v>
      </c>
      <c r="D17" s="29">
        <v>0.4375</v>
      </c>
      <c r="E17" s="72">
        <v>2.5</v>
      </c>
      <c r="F17" s="77" t="s">
        <v>56</v>
      </c>
      <c r="G17" s="77"/>
      <c r="H17" s="77"/>
    </row>
    <row r="18" spans="1:8" ht="30.75" customHeight="1" x14ac:dyDescent="0.25">
      <c r="A18" s="57" t="s">
        <v>58</v>
      </c>
      <c r="B18" s="29">
        <v>0.3125</v>
      </c>
      <c r="C18" s="30">
        <v>0.8125</v>
      </c>
      <c r="D18" s="29">
        <v>0.5</v>
      </c>
      <c r="E18" s="73">
        <v>3.5</v>
      </c>
      <c r="F18" s="77" t="s">
        <v>61</v>
      </c>
      <c r="G18" s="101"/>
      <c r="H18" s="101"/>
    </row>
    <row r="19" spans="1:8" ht="21" customHeight="1" x14ac:dyDescent="0.25">
      <c r="A19" s="52" t="s">
        <v>64</v>
      </c>
      <c r="B19" s="29">
        <v>0.35416666666666669</v>
      </c>
      <c r="C19" s="30">
        <v>0.75</v>
      </c>
      <c r="D19" s="29">
        <v>0.39583333333333331</v>
      </c>
      <c r="E19" s="73">
        <v>1.5</v>
      </c>
      <c r="F19" s="77" t="s">
        <v>65</v>
      </c>
      <c r="G19" s="77"/>
      <c r="H19" s="77"/>
    </row>
    <row r="20" spans="1:8" ht="30.75" customHeight="1" x14ac:dyDescent="0.25">
      <c r="A20" s="57" t="s">
        <v>67</v>
      </c>
      <c r="B20" s="29">
        <v>0.35416666666666669</v>
      </c>
      <c r="C20" s="30">
        <v>0.72916666666666663</v>
      </c>
      <c r="D20" s="29">
        <v>0.375</v>
      </c>
      <c r="E20" s="73">
        <v>1</v>
      </c>
      <c r="F20" s="77" t="s">
        <v>68</v>
      </c>
      <c r="G20" s="101"/>
      <c r="H20" s="101"/>
    </row>
    <row r="21" spans="1:8" ht="31.5" customHeight="1" x14ac:dyDescent="0.25">
      <c r="A21" s="57" t="s">
        <v>84</v>
      </c>
      <c r="B21" s="29">
        <v>0.35416666666666669</v>
      </c>
      <c r="C21" s="30">
        <v>0.75</v>
      </c>
      <c r="D21" s="29">
        <v>0.39583333333333331</v>
      </c>
      <c r="E21" s="75">
        <v>1.5</v>
      </c>
      <c r="F21" s="110" t="s">
        <v>85</v>
      </c>
      <c r="G21" s="111"/>
      <c r="H21" s="112"/>
    </row>
    <row r="22" spans="1:8" ht="44.25" customHeight="1" x14ac:dyDescent="0.25">
      <c r="A22" s="57" t="s">
        <v>89</v>
      </c>
      <c r="B22" s="29">
        <v>0.3125</v>
      </c>
      <c r="C22" s="30">
        <v>0.91666666666666663</v>
      </c>
      <c r="D22" s="29">
        <v>0.60416666666666663</v>
      </c>
      <c r="E22" s="75">
        <v>6</v>
      </c>
      <c r="F22" s="77" t="s">
        <v>90</v>
      </c>
      <c r="G22" s="101"/>
      <c r="H22" s="101"/>
    </row>
    <row r="23" spans="1:8" ht="19.5" customHeight="1" x14ac:dyDescent="0.25">
      <c r="A23" s="57" t="s">
        <v>93</v>
      </c>
      <c r="B23" s="29">
        <v>0.35416666666666669</v>
      </c>
      <c r="C23" s="30">
        <v>0.77083333333333337</v>
      </c>
      <c r="D23" s="29">
        <v>0.41666666666666669</v>
      </c>
      <c r="E23" s="76">
        <v>2</v>
      </c>
      <c r="F23" s="77" t="s">
        <v>94</v>
      </c>
      <c r="G23" s="77"/>
      <c r="H23" s="77"/>
    </row>
    <row r="24" spans="1:8" ht="45" customHeight="1" x14ac:dyDescent="0.25">
      <c r="A24" s="57" t="s">
        <v>96</v>
      </c>
      <c r="B24" s="29">
        <v>0.3125</v>
      </c>
      <c r="C24" s="30">
        <v>0.70833333333333337</v>
      </c>
      <c r="D24" s="29">
        <v>0.39583333333333331</v>
      </c>
      <c r="E24" s="76">
        <v>1.5</v>
      </c>
      <c r="F24" s="77" t="s">
        <v>95</v>
      </c>
      <c r="G24" s="77"/>
      <c r="H24" s="77"/>
    </row>
    <row r="25" spans="1:8" ht="19.5" customHeight="1" x14ac:dyDescent="0.25">
      <c r="A25" s="52"/>
      <c r="B25" s="29"/>
      <c r="C25" s="30"/>
      <c r="D25" s="29"/>
      <c r="E25" s="63"/>
      <c r="F25" s="96"/>
      <c r="G25" s="97"/>
      <c r="H25" s="98"/>
    </row>
    <row r="26" spans="1:8" x14ac:dyDescent="0.25">
      <c r="A26" s="46"/>
      <c r="B26" s="16" t="s">
        <v>16</v>
      </c>
      <c r="C26" s="38">
        <f>SUM(E17:E24)</f>
        <v>19.5</v>
      </c>
      <c r="D26" s="4"/>
      <c r="E26" s="16" t="s">
        <v>20</v>
      </c>
      <c r="F26" s="102">
        <f>B12*C26</f>
        <v>8053.5</v>
      </c>
      <c r="G26" s="103"/>
      <c r="H26" s="19"/>
    </row>
    <row r="27" spans="1:8" x14ac:dyDescent="0.25">
      <c r="A27" s="46"/>
      <c r="B27" s="4"/>
      <c r="C27" s="4"/>
      <c r="D27" s="4"/>
      <c r="E27" s="4"/>
      <c r="F27" s="4"/>
      <c r="G27" s="4"/>
      <c r="H27" s="13"/>
    </row>
    <row r="28" spans="1:8" x14ac:dyDescent="0.25">
      <c r="A28" s="46"/>
      <c r="B28" s="4"/>
      <c r="C28" s="4"/>
      <c r="D28" s="4"/>
      <c r="E28" s="4"/>
      <c r="F28" s="4"/>
      <c r="G28" s="4"/>
      <c r="H28" s="13"/>
    </row>
    <row r="29" spans="1:8" x14ac:dyDescent="0.25">
      <c r="A29" s="46"/>
      <c r="B29" s="4"/>
      <c r="C29" s="4"/>
      <c r="D29" s="4"/>
      <c r="E29" s="4"/>
      <c r="F29" s="4"/>
      <c r="G29" s="4"/>
      <c r="H29" s="13"/>
    </row>
    <row r="30" spans="1:8" x14ac:dyDescent="0.25">
      <c r="A30" s="47" t="s">
        <v>21</v>
      </c>
      <c r="B30" s="3"/>
      <c r="C30" s="4"/>
      <c r="D30" s="4"/>
      <c r="E30" s="104" t="s">
        <v>23</v>
      </c>
      <c r="F30" s="104"/>
      <c r="G30" s="104"/>
      <c r="H30" s="105"/>
    </row>
    <row r="31" spans="1:8" x14ac:dyDescent="0.25">
      <c r="A31" s="106" t="s">
        <v>49</v>
      </c>
      <c r="B31" s="107"/>
      <c r="C31" s="107"/>
      <c r="D31" s="107"/>
      <c r="E31" s="107"/>
      <c r="F31" s="107"/>
      <c r="G31" s="107"/>
      <c r="H31" s="21"/>
    </row>
    <row r="32" spans="1:8" x14ac:dyDescent="0.25">
      <c r="A32" s="108" t="s">
        <v>24</v>
      </c>
      <c r="B32" s="109"/>
      <c r="C32" s="109"/>
      <c r="D32" s="109"/>
      <c r="E32" s="109"/>
      <c r="F32" s="109"/>
      <c r="G32" s="109"/>
      <c r="H32" s="22"/>
    </row>
    <row r="33" spans="1:8" x14ac:dyDescent="0.25">
      <c r="A33" s="49" t="s">
        <v>25</v>
      </c>
      <c r="B33" s="36"/>
      <c r="C33" s="36"/>
      <c r="D33" s="36"/>
      <c r="E33" s="36"/>
      <c r="F33" s="36"/>
      <c r="G33" s="36"/>
      <c r="H33" s="22"/>
    </row>
    <row r="34" spans="1:8" x14ac:dyDescent="0.25">
      <c r="A34" s="108" t="s">
        <v>26</v>
      </c>
      <c r="B34" s="109"/>
      <c r="C34" s="109"/>
      <c r="D34" s="109"/>
      <c r="E34" s="109"/>
      <c r="F34" s="109"/>
      <c r="G34" s="109"/>
      <c r="H34" s="22"/>
    </row>
    <row r="35" spans="1:8" x14ac:dyDescent="0.25">
      <c r="A35" s="46"/>
      <c r="B35" s="4"/>
      <c r="C35" s="4"/>
      <c r="D35" s="4"/>
      <c r="E35" s="4"/>
      <c r="F35" s="4"/>
      <c r="G35" s="4"/>
      <c r="H35" s="13"/>
    </row>
    <row r="36" spans="1:8" x14ac:dyDescent="0.25">
      <c r="A36" s="46"/>
      <c r="B36" s="4"/>
      <c r="C36" s="4"/>
      <c r="D36" s="4"/>
      <c r="E36" s="4"/>
      <c r="F36" s="4"/>
      <c r="G36" s="4"/>
      <c r="H36" s="13"/>
    </row>
    <row r="37" spans="1:8" ht="15.75" thickBot="1" x14ac:dyDescent="0.3">
      <c r="A37" s="50" t="s">
        <v>21</v>
      </c>
      <c r="B37" s="25"/>
      <c r="C37" s="27"/>
      <c r="D37" s="27"/>
      <c r="E37" s="99" t="s">
        <v>22</v>
      </c>
      <c r="F37" s="99"/>
      <c r="G37" s="99"/>
      <c r="H37" s="100"/>
    </row>
  </sheetData>
  <mergeCells count="29">
    <mergeCell ref="F22:H22"/>
    <mergeCell ref="F21:H21"/>
    <mergeCell ref="F17:H17"/>
    <mergeCell ref="F18:H18"/>
    <mergeCell ref="F20:H20"/>
    <mergeCell ref="E11:F11"/>
    <mergeCell ref="E12:F12"/>
    <mergeCell ref="F15:H16"/>
    <mergeCell ref="F19:H19"/>
    <mergeCell ref="E9:H9"/>
    <mergeCell ref="F1:H1"/>
    <mergeCell ref="B2:H3"/>
    <mergeCell ref="C5:E5"/>
    <mergeCell ref="E7:H7"/>
    <mergeCell ref="E8:F8"/>
    <mergeCell ref="A15:A16"/>
    <mergeCell ref="B15:B16"/>
    <mergeCell ref="C15:C16"/>
    <mergeCell ref="D15:D16"/>
    <mergeCell ref="E15:E16"/>
    <mergeCell ref="F23:H23"/>
    <mergeCell ref="E37:H37"/>
    <mergeCell ref="F26:G26"/>
    <mergeCell ref="E30:H30"/>
    <mergeCell ref="A31:G31"/>
    <mergeCell ref="A32:G32"/>
    <mergeCell ref="A34:G34"/>
    <mergeCell ref="F24:H24"/>
    <mergeCell ref="F25:H25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Word.Picture.8" shapeId="17409" r:id="rId3">
          <objectPr defaultSize="0" autoPict="0" r:id="rId4">
            <anchor moveWithCells="1" sizeWithCells="1">
              <from>
                <xdr:col>0</xdr:col>
                <xdr:colOff>76200</xdr:colOff>
                <xdr:row>0</xdr:row>
                <xdr:rowOff>133350</xdr:rowOff>
              </from>
              <to>
                <xdr:col>1</xdr:col>
                <xdr:colOff>0</xdr:colOff>
                <xdr:row>4</xdr:row>
                <xdr:rowOff>209550</xdr:rowOff>
              </to>
            </anchor>
          </objectPr>
        </oleObject>
      </mc:Choice>
      <mc:Fallback>
        <oleObject progId="Word.Picture.8" shapeId="17409" r:id="rId3"/>
      </mc:Fallback>
    </mc:AlternateContent>
  </oleObjec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40"/>
  <sheetViews>
    <sheetView tabSelected="1" topLeftCell="A16" zoomScaleNormal="100" workbookViewId="0">
      <selection activeCell="J25" sqref="J25"/>
    </sheetView>
  </sheetViews>
  <sheetFormatPr defaultRowHeight="15" x14ac:dyDescent="0.25"/>
  <cols>
    <col min="1" max="1" width="12.42578125" customWidth="1"/>
    <col min="2" max="2" width="11.42578125" customWidth="1"/>
    <col min="3" max="3" width="9.85546875" customWidth="1"/>
    <col min="4" max="4" width="12.5703125" customWidth="1"/>
    <col min="5" max="5" width="12" customWidth="1"/>
    <col min="8" max="8" width="62.28515625" customWidth="1"/>
  </cols>
  <sheetData>
    <row r="1" spans="1:8" x14ac:dyDescent="0.25">
      <c r="A1" s="9"/>
      <c r="B1" s="10"/>
      <c r="C1" s="10"/>
      <c r="D1" s="10"/>
      <c r="E1" s="10"/>
      <c r="F1" s="83" t="s">
        <v>0</v>
      </c>
      <c r="G1" s="83"/>
      <c r="H1" s="84"/>
    </row>
    <row r="2" spans="1:8" x14ac:dyDescent="0.25">
      <c r="A2" s="12"/>
      <c r="B2" s="85" t="s">
        <v>1</v>
      </c>
      <c r="C2" s="86"/>
      <c r="D2" s="86"/>
      <c r="E2" s="86"/>
      <c r="F2" s="86"/>
      <c r="G2" s="86"/>
      <c r="H2" s="87"/>
    </row>
    <row r="3" spans="1:8" x14ac:dyDescent="0.25">
      <c r="A3" s="12"/>
      <c r="B3" s="88"/>
      <c r="C3" s="89"/>
      <c r="D3" s="89"/>
      <c r="E3" s="89"/>
      <c r="F3" s="89"/>
      <c r="G3" s="89"/>
      <c r="H3" s="90"/>
    </row>
    <row r="4" spans="1:8" x14ac:dyDescent="0.25">
      <c r="A4" s="12"/>
      <c r="B4" s="4"/>
      <c r="C4" s="4"/>
      <c r="D4" s="4"/>
      <c r="E4" s="4"/>
      <c r="F4" s="4"/>
      <c r="G4" s="4"/>
      <c r="H4" s="13"/>
    </row>
    <row r="5" spans="1:8" ht="18.75" x14ac:dyDescent="0.3">
      <c r="A5" s="12"/>
      <c r="B5" s="4"/>
      <c r="C5" s="91" t="s">
        <v>2</v>
      </c>
      <c r="D5" s="91"/>
      <c r="E5" s="91"/>
      <c r="F5" s="14"/>
      <c r="G5" s="14"/>
      <c r="H5" s="13"/>
    </row>
    <row r="6" spans="1:8" x14ac:dyDescent="0.25">
      <c r="A6" s="12"/>
      <c r="B6" s="4"/>
      <c r="C6" s="4"/>
      <c r="D6" s="4"/>
      <c r="E6" s="4"/>
      <c r="F6" s="4"/>
      <c r="G6" s="4"/>
      <c r="H6" s="13"/>
    </row>
    <row r="7" spans="1:8" x14ac:dyDescent="0.25">
      <c r="A7" s="15" t="s">
        <v>3</v>
      </c>
      <c r="B7" s="1">
        <v>140751</v>
      </c>
      <c r="C7" s="4"/>
      <c r="D7" s="16" t="s">
        <v>4</v>
      </c>
      <c r="E7" s="78" t="s">
        <v>50</v>
      </c>
      <c r="F7" s="81"/>
      <c r="G7" s="81"/>
      <c r="H7" s="82"/>
    </row>
    <row r="8" spans="1:8" x14ac:dyDescent="0.25">
      <c r="A8" s="15" t="s">
        <v>5</v>
      </c>
      <c r="B8" s="1" t="s">
        <v>40</v>
      </c>
      <c r="C8" s="4"/>
      <c r="D8" s="16" t="s">
        <v>6</v>
      </c>
      <c r="E8" s="78" t="s">
        <v>7</v>
      </c>
      <c r="F8" s="79"/>
      <c r="G8" s="4"/>
      <c r="H8" s="13"/>
    </row>
    <row r="9" spans="1:8" x14ac:dyDescent="0.25">
      <c r="A9" s="15" t="s">
        <v>9</v>
      </c>
      <c r="B9" s="1" t="s">
        <v>10</v>
      </c>
      <c r="C9" s="4"/>
      <c r="D9" s="16" t="s">
        <v>8</v>
      </c>
      <c r="E9" s="78" t="s">
        <v>27</v>
      </c>
      <c r="F9" s="81"/>
      <c r="G9" s="81"/>
      <c r="H9" s="82"/>
    </row>
    <row r="10" spans="1:8" x14ac:dyDescent="0.25">
      <c r="A10" s="12"/>
      <c r="B10" s="4"/>
      <c r="C10" s="4"/>
      <c r="D10" s="4"/>
      <c r="E10" s="4"/>
      <c r="F10" s="4"/>
      <c r="G10" s="4"/>
      <c r="H10" s="13"/>
    </row>
    <row r="11" spans="1:8" x14ac:dyDescent="0.25">
      <c r="A11" s="17" t="s">
        <v>11</v>
      </c>
      <c r="B11" s="1">
        <v>473</v>
      </c>
      <c r="C11" s="4"/>
      <c r="D11" s="2" t="s">
        <v>12</v>
      </c>
      <c r="E11" s="78">
        <v>26600</v>
      </c>
      <c r="F11" s="79"/>
      <c r="G11" s="16" t="s">
        <v>13</v>
      </c>
      <c r="H11" s="56">
        <v>11624</v>
      </c>
    </row>
    <row r="12" spans="1:8" x14ac:dyDescent="0.25">
      <c r="A12" s="17" t="s">
        <v>14</v>
      </c>
      <c r="B12" s="1">
        <v>367</v>
      </c>
      <c r="C12" s="4"/>
      <c r="D12" s="2" t="s">
        <v>33</v>
      </c>
      <c r="E12" s="80">
        <v>45383</v>
      </c>
      <c r="F12" s="79"/>
      <c r="G12" s="4"/>
      <c r="H12" s="13"/>
    </row>
    <row r="13" spans="1:8" x14ac:dyDescent="0.25">
      <c r="A13" s="12"/>
      <c r="B13" s="4"/>
      <c r="C13" s="4"/>
      <c r="D13" s="4"/>
      <c r="E13" s="4"/>
      <c r="F13" s="4"/>
      <c r="G13" s="4"/>
      <c r="H13" s="13"/>
    </row>
    <row r="14" spans="1:8" ht="15.75" thickBot="1" x14ac:dyDescent="0.3">
      <c r="A14" s="12"/>
      <c r="B14" s="4"/>
      <c r="C14" s="4"/>
      <c r="D14" s="4"/>
      <c r="E14" s="4"/>
      <c r="F14" s="4"/>
      <c r="G14" s="4"/>
      <c r="H14" s="13"/>
    </row>
    <row r="15" spans="1:8" x14ac:dyDescent="0.25">
      <c r="A15" s="113" t="s">
        <v>19</v>
      </c>
      <c r="B15" s="113" t="s">
        <v>18</v>
      </c>
      <c r="C15" s="113" t="s">
        <v>17</v>
      </c>
      <c r="D15" s="113" t="s">
        <v>16</v>
      </c>
      <c r="E15" s="113" t="s">
        <v>32</v>
      </c>
      <c r="F15" s="115" t="s">
        <v>15</v>
      </c>
      <c r="G15" s="116"/>
      <c r="H15" s="117"/>
    </row>
    <row r="16" spans="1:8" x14ac:dyDescent="0.25">
      <c r="A16" s="114"/>
      <c r="B16" s="114"/>
      <c r="C16" s="114"/>
      <c r="D16" s="114"/>
      <c r="E16" s="114"/>
      <c r="F16" s="118"/>
      <c r="G16" s="119"/>
      <c r="H16" s="120"/>
    </row>
    <row r="17" spans="1:8" ht="21" customHeight="1" x14ac:dyDescent="0.25">
      <c r="A17" s="52" t="s">
        <v>55</v>
      </c>
      <c r="B17" s="29">
        <v>0.35416666666666669</v>
      </c>
      <c r="C17" s="30">
        <v>0.75</v>
      </c>
      <c r="D17" s="29">
        <v>0.39583333333333331</v>
      </c>
      <c r="E17" s="72">
        <v>1.5</v>
      </c>
      <c r="F17" s="77" t="s">
        <v>57</v>
      </c>
      <c r="G17" s="77"/>
      <c r="H17" s="77"/>
    </row>
    <row r="18" spans="1:8" ht="32.25" customHeight="1" x14ac:dyDescent="0.25">
      <c r="A18" s="52" t="s">
        <v>58</v>
      </c>
      <c r="B18" s="29">
        <v>0.35416666666666669</v>
      </c>
      <c r="C18" s="30">
        <v>0.79166666666666663</v>
      </c>
      <c r="D18" s="29">
        <v>0.4375</v>
      </c>
      <c r="E18" s="73">
        <v>2.5</v>
      </c>
      <c r="F18" s="77" t="s">
        <v>60</v>
      </c>
      <c r="G18" s="77"/>
      <c r="H18" s="77"/>
    </row>
    <row r="19" spans="1:8" ht="21" customHeight="1" x14ac:dyDescent="0.25">
      <c r="A19" s="52" t="s">
        <v>64</v>
      </c>
      <c r="B19" s="29">
        <v>0.35416666666666669</v>
      </c>
      <c r="C19" s="30">
        <v>0.75</v>
      </c>
      <c r="D19" s="29">
        <v>0.39583333333333331</v>
      </c>
      <c r="E19" s="73">
        <v>1.5</v>
      </c>
      <c r="F19" s="77" t="s">
        <v>65</v>
      </c>
      <c r="G19" s="77"/>
      <c r="H19" s="77"/>
    </row>
    <row r="20" spans="1:8" ht="30.75" customHeight="1" x14ac:dyDescent="0.25">
      <c r="A20" s="57" t="s">
        <v>67</v>
      </c>
      <c r="B20" s="29">
        <v>0.35416666666666669</v>
      </c>
      <c r="C20" s="30">
        <v>0.72916666666666663</v>
      </c>
      <c r="D20" s="29">
        <v>0.375</v>
      </c>
      <c r="E20" s="73">
        <v>1</v>
      </c>
      <c r="F20" s="77" t="s">
        <v>68</v>
      </c>
      <c r="G20" s="101"/>
      <c r="H20" s="101"/>
    </row>
    <row r="21" spans="1:8" ht="44.25" customHeight="1" x14ac:dyDescent="0.25">
      <c r="A21" s="52" t="s">
        <v>71</v>
      </c>
      <c r="B21" s="29">
        <v>0.35416666666666669</v>
      </c>
      <c r="C21" s="30">
        <v>0.77083333333333337</v>
      </c>
      <c r="D21" s="29">
        <v>0.41666666666666669</v>
      </c>
      <c r="E21" s="73">
        <v>2</v>
      </c>
      <c r="F21" s="77" t="s">
        <v>72</v>
      </c>
      <c r="G21" s="77"/>
      <c r="H21" s="77"/>
    </row>
    <row r="22" spans="1:8" ht="18.75" customHeight="1" x14ac:dyDescent="0.25">
      <c r="A22" s="52" t="s">
        <v>75</v>
      </c>
      <c r="B22" s="29">
        <v>0.35416666666666669</v>
      </c>
      <c r="C22" s="30">
        <v>0.77083333333333337</v>
      </c>
      <c r="D22" s="29">
        <v>0.41666666666666669</v>
      </c>
      <c r="E22" s="74">
        <v>2</v>
      </c>
      <c r="F22" s="77" t="s">
        <v>77</v>
      </c>
      <c r="G22" s="77"/>
      <c r="H22" s="77"/>
    </row>
    <row r="23" spans="1:8" ht="31.5" customHeight="1" x14ac:dyDescent="0.25">
      <c r="A23" s="57" t="s">
        <v>84</v>
      </c>
      <c r="B23" s="29">
        <v>0.35416666666666669</v>
      </c>
      <c r="C23" s="30">
        <v>0.75</v>
      </c>
      <c r="D23" s="29">
        <v>0.39583333333333331</v>
      </c>
      <c r="E23" s="75">
        <v>1.5</v>
      </c>
      <c r="F23" s="110" t="s">
        <v>85</v>
      </c>
      <c r="G23" s="111"/>
      <c r="H23" s="112"/>
    </row>
    <row r="24" spans="1:8" ht="17.25" customHeight="1" x14ac:dyDescent="0.25">
      <c r="A24" s="57" t="s">
        <v>91</v>
      </c>
      <c r="B24" s="29">
        <v>0.3125</v>
      </c>
      <c r="C24" s="30">
        <v>0.83333333333333337</v>
      </c>
      <c r="D24" s="29">
        <v>0.52083333333333337</v>
      </c>
      <c r="E24" s="75">
        <v>4</v>
      </c>
      <c r="F24" s="77" t="s">
        <v>92</v>
      </c>
      <c r="G24" s="77"/>
      <c r="H24" s="77"/>
    </row>
    <row r="25" spans="1:8" ht="19.5" customHeight="1" x14ac:dyDescent="0.25">
      <c r="A25" s="57" t="s">
        <v>93</v>
      </c>
      <c r="B25" s="29">
        <v>0.35416666666666669</v>
      </c>
      <c r="C25" s="30">
        <v>0.77083333333333337</v>
      </c>
      <c r="D25" s="29">
        <v>0.41666666666666669</v>
      </c>
      <c r="E25" s="76">
        <v>2</v>
      </c>
      <c r="F25" s="77" t="s">
        <v>94</v>
      </c>
      <c r="G25" s="77"/>
      <c r="H25" s="77"/>
    </row>
    <row r="26" spans="1:8" ht="45" customHeight="1" x14ac:dyDescent="0.25">
      <c r="A26" s="57" t="s">
        <v>96</v>
      </c>
      <c r="B26" s="29">
        <v>0.35416666666666669</v>
      </c>
      <c r="C26" s="30">
        <v>1</v>
      </c>
      <c r="D26" s="29">
        <v>0.64583333333333337</v>
      </c>
      <c r="E26" s="76">
        <v>7</v>
      </c>
      <c r="F26" s="77" t="s">
        <v>95</v>
      </c>
      <c r="G26" s="77"/>
      <c r="H26" s="77"/>
    </row>
    <row r="27" spans="1:8" ht="20.25" customHeight="1" x14ac:dyDescent="0.25">
      <c r="A27" s="57" t="s">
        <v>97</v>
      </c>
      <c r="B27" s="29">
        <v>0</v>
      </c>
      <c r="C27" s="30">
        <v>0.6875</v>
      </c>
      <c r="D27" s="29">
        <v>0.6875</v>
      </c>
      <c r="E27" s="76">
        <v>7.5</v>
      </c>
      <c r="F27" s="77" t="s">
        <v>98</v>
      </c>
      <c r="G27" s="77"/>
      <c r="H27" s="77"/>
    </row>
    <row r="28" spans="1:8" ht="22.5" customHeight="1" x14ac:dyDescent="0.25">
      <c r="A28" s="57"/>
      <c r="B28" s="29"/>
      <c r="C28" s="30"/>
      <c r="D28" s="29"/>
      <c r="E28" s="76"/>
      <c r="F28" s="96"/>
      <c r="G28" s="97"/>
      <c r="H28" s="98"/>
    </row>
    <row r="29" spans="1:8" x14ac:dyDescent="0.25">
      <c r="A29" s="12"/>
      <c r="B29" s="16" t="s">
        <v>16</v>
      </c>
      <c r="C29" s="38">
        <f>SUM(E17:E28)</f>
        <v>32.5</v>
      </c>
      <c r="D29" s="4"/>
      <c r="E29" s="16" t="s">
        <v>20</v>
      </c>
      <c r="F29" s="102">
        <f>B12*C29</f>
        <v>11927.5</v>
      </c>
      <c r="G29" s="103"/>
      <c r="H29" s="19"/>
    </row>
    <row r="30" spans="1:8" x14ac:dyDescent="0.25">
      <c r="A30" s="12"/>
      <c r="B30" s="4"/>
      <c r="C30" s="4"/>
      <c r="D30" s="4"/>
      <c r="E30" s="4"/>
      <c r="F30" s="4"/>
      <c r="G30" s="4"/>
      <c r="H30" s="13"/>
    </row>
    <row r="31" spans="1:8" x14ac:dyDescent="0.25">
      <c r="A31" s="12"/>
      <c r="B31" s="4"/>
      <c r="C31" s="4"/>
      <c r="D31" s="4"/>
      <c r="E31" s="4"/>
      <c r="F31" s="4"/>
      <c r="G31" s="4"/>
      <c r="H31" s="13"/>
    </row>
    <row r="32" spans="1:8" x14ac:dyDescent="0.25">
      <c r="A32" s="12"/>
      <c r="B32" s="4"/>
      <c r="C32" s="4"/>
      <c r="D32" s="4"/>
      <c r="E32" s="4"/>
      <c r="F32" s="4"/>
      <c r="G32" s="4"/>
      <c r="H32" s="13"/>
    </row>
    <row r="33" spans="1:8" x14ac:dyDescent="0.25">
      <c r="A33" s="20" t="s">
        <v>21</v>
      </c>
      <c r="B33" s="3"/>
      <c r="C33" s="4"/>
      <c r="D33" s="4"/>
      <c r="E33" s="104" t="s">
        <v>23</v>
      </c>
      <c r="F33" s="104"/>
      <c r="G33" s="104"/>
      <c r="H33" s="105"/>
    </row>
    <row r="34" spans="1:8" x14ac:dyDescent="0.25">
      <c r="A34" s="106" t="s">
        <v>49</v>
      </c>
      <c r="B34" s="107"/>
      <c r="C34" s="107"/>
      <c r="D34" s="107"/>
      <c r="E34" s="107"/>
      <c r="F34" s="107"/>
      <c r="G34" s="107"/>
      <c r="H34" s="21"/>
    </row>
    <row r="35" spans="1:8" x14ac:dyDescent="0.25">
      <c r="A35" s="108" t="s">
        <v>24</v>
      </c>
      <c r="B35" s="109"/>
      <c r="C35" s="109"/>
      <c r="D35" s="109"/>
      <c r="E35" s="109"/>
      <c r="F35" s="109"/>
      <c r="G35" s="109"/>
      <c r="H35" s="22"/>
    </row>
    <row r="36" spans="1:8" x14ac:dyDescent="0.25">
      <c r="A36" s="54" t="s">
        <v>25</v>
      </c>
      <c r="B36" s="55"/>
      <c r="C36" s="55"/>
      <c r="D36" s="55"/>
      <c r="E36" s="55"/>
      <c r="F36" s="55"/>
      <c r="G36" s="55"/>
      <c r="H36" s="22"/>
    </row>
    <row r="37" spans="1:8" x14ac:dyDescent="0.25">
      <c r="A37" s="108" t="s">
        <v>26</v>
      </c>
      <c r="B37" s="109"/>
      <c r="C37" s="109"/>
      <c r="D37" s="109"/>
      <c r="E37" s="109"/>
      <c r="F37" s="109"/>
      <c r="G37" s="109"/>
      <c r="H37" s="22"/>
    </row>
    <row r="38" spans="1:8" x14ac:dyDescent="0.25">
      <c r="A38" s="12"/>
      <c r="B38" s="4"/>
      <c r="C38" s="4"/>
      <c r="D38" s="4"/>
      <c r="E38" s="4"/>
      <c r="F38" s="4"/>
      <c r="G38" s="4"/>
      <c r="H38" s="13"/>
    </row>
    <row r="39" spans="1:8" x14ac:dyDescent="0.25">
      <c r="A39" s="12"/>
      <c r="B39" s="4"/>
      <c r="C39" s="4"/>
      <c r="D39" s="4"/>
      <c r="E39" s="4"/>
      <c r="F39" s="4"/>
      <c r="G39" s="4"/>
      <c r="H39" s="13"/>
    </row>
    <row r="40" spans="1:8" ht="15.75" thickBot="1" x14ac:dyDescent="0.3">
      <c r="A40" s="24" t="s">
        <v>21</v>
      </c>
      <c r="B40" s="25"/>
      <c r="C40" s="27"/>
      <c r="D40" s="27"/>
      <c r="E40" s="99" t="s">
        <v>22</v>
      </c>
      <c r="F40" s="99"/>
      <c r="G40" s="99"/>
      <c r="H40" s="100"/>
    </row>
  </sheetData>
  <mergeCells count="32">
    <mergeCell ref="F27:H27"/>
    <mergeCell ref="F28:H28"/>
    <mergeCell ref="E11:F11"/>
    <mergeCell ref="E12:F12"/>
    <mergeCell ref="F15:H16"/>
    <mergeCell ref="E9:H9"/>
    <mergeCell ref="F1:H1"/>
    <mergeCell ref="B2:H3"/>
    <mergeCell ref="C5:E5"/>
    <mergeCell ref="E7:H7"/>
    <mergeCell ref="E8:F8"/>
    <mergeCell ref="A15:A16"/>
    <mergeCell ref="B15:B16"/>
    <mergeCell ref="C15:C16"/>
    <mergeCell ref="D15:D16"/>
    <mergeCell ref="E15:E16"/>
    <mergeCell ref="F26:H26"/>
    <mergeCell ref="E40:H40"/>
    <mergeCell ref="F17:H17"/>
    <mergeCell ref="F18:H18"/>
    <mergeCell ref="F19:H19"/>
    <mergeCell ref="F20:H20"/>
    <mergeCell ref="F29:G29"/>
    <mergeCell ref="E33:H33"/>
    <mergeCell ref="A34:G34"/>
    <mergeCell ref="A35:G35"/>
    <mergeCell ref="A37:G37"/>
    <mergeCell ref="F21:H21"/>
    <mergeCell ref="F25:H25"/>
    <mergeCell ref="F22:H22"/>
    <mergeCell ref="F23:H23"/>
    <mergeCell ref="F24:H24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Word.Picture.8" shapeId="18433" r:id="rId3">
          <objectPr defaultSize="0" autoPict="0" r:id="rId4">
            <anchor moveWithCells="1" sizeWithCells="1">
              <from>
                <xdr:col>0</xdr:col>
                <xdr:colOff>76200</xdr:colOff>
                <xdr:row>0</xdr:row>
                <xdr:rowOff>133350</xdr:rowOff>
              </from>
              <to>
                <xdr:col>1</xdr:col>
                <xdr:colOff>0</xdr:colOff>
                <xdr:row>4</xdr:row>
                <xdr:rowOff>209550</xdr:rowOff>
              </to>
            </anchor>
          </objectPr>
        </oleObject>
      </mc:Choice>
      <mc:Fallback>
        <oleObject progId="Word.Picture.8" shapeId="18433" r:id="rId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PPD</vt:lpstr>
      <vt:lpstr>DJB</vt:lpstr>
      <vt:lpstr>SD</vt:lpstr>
      <vt:lpstr>DB</vt:lpstr>
      <vt:lpstr>HR</vt:lpstr>
      <vt:lpstr>YA</vt:lpstr>
      <vt:lpstr>RRK</vt:lpstr>
      <vt:lpstr>SR</vt:lpstr>
      <vt:lpstr>MP</vt:lpstr>
      <vt:lpstr>AB</vt:lpstr>
      <vt:lpstr>RD</vt:lpstr>
      <vt:lpstr>UC</vt:lpstr>
    </vt:vector>
  </TitlesOfParts>
  <Company>ONGC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VIKRANT SINGH RAJPUT-135213</dc:creator>
  <cp:lastModifiedBy>HP</cp:lastModifiedBy>
  <cp:lastPrinted>2019-11-19T06:41:52Z</cp:lastPrinted>
  <dcterms:created xsi:type="dcterms:W3CDTF">2019-06-26T06:41:49Z</dcterms:created>
  <dcterms:modified xsi:type="dcterms:W3CDTF">2024-05-04T07:59:04Z</dcterms:modified>
</cp:coreProperties>
</file>